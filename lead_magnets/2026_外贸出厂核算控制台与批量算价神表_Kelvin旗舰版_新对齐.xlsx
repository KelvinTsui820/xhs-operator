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xhs_operator\lead_magnets\"/>
    </mc:Choice>
  </mc:AlternateContent>
  <bookViews>
    <workbookView windowWidth="22188" windowHeight="9060"/>
  </bookViews>
  <sheets>
    <sheet name="📌 使用指南与提效神器" sheetId="1" r:id="rId1"/>
    <sheet name="⚙️ 全局核算参数 (Config)" sheetId="2" r:id="rId2"/>
    <sheet name="📦 商品出厂底价库 (Products)" sheetId="3" r:id="rId3"/>
    <sheet name="📄 对外纯净批量报价单 (脱敏单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<sst xmlns="http://schemas.openxmlformats.org/spreadsheetml/2006/main" count="171" uniqueCount="162">
  <si>
    <t>【2026 外贸出厂核算控制台与批量算价神表 · Kelvin旗舰版】使用指南</t>
  </si>
  <si>
    <t>💡 本地离线版与线上版 KelvinFlow (https://quote.kelvinflow.com) 采用 100% 相同数据架构。在此填写的全部数据，日后可直接无损上传，零学习成本。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</si>
  <si>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</si>
  <si>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</si>
  <si>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</si>
  <si>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张工作表设定贵司的内部锁定汇率（如 USD 7.20）、全厂保底毛利（如 15%）、利润防穿底红线（如 8%）与海运进仓港杂平摊（如 0.20 元/件）。在此修改后，全厂全量商品自动秒级联动更新。</t>
  </si>
  <si>
    <t>3. 【📦 商品出厂底价库】怎么用？</t>
  </si>
  <si>
    <t>在第 3 张工作表批量录入产品 SKU、出厂底价与包装尺寸。黄色公式区会自动联动倒算出精准 FOB 美金报价、自动算出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</si>
  <si>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</si>
  <si>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</si>
  <si>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无缝升级线上版 (SaaS 原生直通)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</si>
  <si>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</si>
  <si>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</si>
  <si>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</si>
  <si>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</si>
  <si>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 本表由企业掌门人/财务部专管；在此设定的汇率、保底毛利率与业务条款将自动应用于系统全量商品出厂核算。修改后即时全厂生效。</t>
  </si>
  <si>
    <t>💵 模块一：结算币种与内部锁定汇率 (Currency &amp; Exchange Rates)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</si>
  <si>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</si>
  <si>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</si>
  <si>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</si>
  <si>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</si>
  <si>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</si>
  <si>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USD</t>
  </si>
  <si>
    <t>$</t>
  </si>
  <si>
    <t>★ 基准主币种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</si>
  <si>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</si>
  <si>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</si>
  <si>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</si>
  <si>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</si>
  <si>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</si>
  <si>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</si>
  <si>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</si>
  <si>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</si>
  <si>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</si>
  <si>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</si>
  <si>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</si>
  <si>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</si>
  <si>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</si>
  <si>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</si>
  <si>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</si>
  <si>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</si>
  <si>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</si>
  <si>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</si>
  <si>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</si>
  <si>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责任人/控制级别</t>
  </si>
  <si>
    <t>全厂默认保底毛利率 (Default Margin)</t>
  </si>
  <si>
    <t>百分比 (0.15)</t>
  </si>
  <si>
    <t>出厂安全底价基础上浮动加价；单品未设时自动继承此参数</t>
  </si>
  <si>
    <t>企业掌门人 / 老板</t>
  </si>
  <si>
    <t>最低保护红线毛利率 (Floor Margin)</t>
  </si>
  <si>
    <t>百分比 (0.08)</t>
  </si>
  <si>
    <t>业务员最低授权底线，低于此红线系统强制拦截并报警打回</t>
  </si>
  <si>
    <t>老板 / 财务总监</t>
  </si>
  <si>
    <t>样品打样费上浮倍率 (Sample Multiplier)</t>
  </si>
  <si>
    <t>倍率 (出厂价*2.5)</t>
  </si>
  <si>
    <t>覆盖小批量散单模具调机成本，后续批量达标全额抵扣货款</t>
  </si>
  <si>
    <t>厂长 / 工程部</t>
  </si>
  <si>
    <t>报价单默认有效期 (Price Validity)</t>
  </si>
  <si>
    <t>30 Days</t>
  </si>
  <si>
    <t>天数</t>
  </si>
  <si>
    <t>超出 30 天需重新核实原材料成本与外币汇率波动情况</t>
  </si>
  <si>
    <t>外贸部主管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</si>
  <si>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</si>
  <si>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</si>
  <si>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</si>
  <si>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</si>
  <si>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</si>
  <si>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</si>
  <si>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</si>
  <si>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</si>
  <si>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</si>
  <si>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</si>
  <si>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</si>
  <si>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</si>
  <si>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</si>
  <si>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</si>
  <si>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</si>
  <si>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</si>
  <si>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</si>
  <si>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</si>
  <si>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</si>
  <si>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</si>
  <si>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</si>
  <si>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</si>
  <si>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</si>
  <si>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</si>
  <si>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</si>
  <si>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</si>
  <si>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</si>
  <si>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</si>
  <si>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</si>
  <si>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</si>
  <si>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</si>
  <si>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</si>
  <si>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</si>
  <si>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</si>
  <si>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</si>
  <si>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</si>
  <si>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</si>
  <si>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</si>
  <si>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</si>
  <si>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</si>
  <si>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</si>
  <si>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</si>
  <si>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</si>
  <si>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</si>
  <si>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</si>
  <si>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</si>
  <si>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</si>
  <si>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</si>
  <si>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</si>
  <si>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</si>
  <si>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</si>
  <si>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</si>
  <si>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</si>
  <si>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</si>
  <si>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</si>
  <si>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</si>
  <si>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</si>
  <si>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</si>
  <si>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</si>
  <si>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🎯 FOB美金单价(USD)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</si>
  <si>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</si>
  <si>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</si>
  <si>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</si>
  <si>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</si>
  <si>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</si>
  <si>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</si>
  <si>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</si>
  <si>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</si>
  <si>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</si>
  <si>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</si>
  <si>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</si>
  <si>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</si>
  <si>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</si>
  <si>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</si>
  <si>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</si>
  <si>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</si>
  <si>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</si>
  <si>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</si>
  <si>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</si>
  <si>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</si>
  <si>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</si>
  <si>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</si>
  <si>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</si>
  <si>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</si>
  <si>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</si>
  <si>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</si>
  <si>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</si>
  <si>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</si>
  <si>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 FORMAL QUOTATION (COMMERCIAL OFFER)</t>
  </si>
  <si>
    <t>Trade Term: FOB Shenzhen (Incoterms 2020)  |  Currency: USD ($)</t>
  </si>
  <si>
    <t>Payment: 30% Deposit, 70% Before Shipment  |  Price Validity: 30 Days</t>
  </si>
  <si>
    <t>Item</t>
  </si>
  <si>
    <t>Model No.</t>
  </si>
  <si>
    <t>Product Description &amp; Detailed Specifications</t>
  </si>
  <si>
    <t>MOQ (PCS)</t>
  </si>
  <si>
    <t>FOB Price (USD)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</si>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</sst>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(* #,##0_);_(* \(#,##0\);_(* &quot;-&quot;_);_(@_)"/>
    <numFmt numFmtId="42" formatCode="_(&quot;HK$&quot;* #,##0_);_(&quot;HK$&quot;* \(#,##0\);_(&quot;HK$&quot;* &quot;-&quot;_);_(@_)"/>
    <numFmt numFmtId="43" formatCode="_(* #,##0.00_);_(* \(#,##0.00\);_(* &quot;-&quot;??_);_(@_)"/>
    <numFmt numFmtId="176" formatCode="_(&quot;HK$&quot;* #,##0.00_);_(&quot;HK$&quot;* \(#,##0.00\);_(&quot;HK$&quot;* &quot;-&quot;??_);_(@_)"/>
    <numFmt numFmtId="177" formatCode="\$#,##0.00"/>
    <numFmt numFmtId="178" formatCode="\¥#,##0.00"/>
    <numFmt numFmtId="179" formatCode="0.000"/>
    <numFmt numFmtId="180" formatCode="0.0"/>
    <numFmt numFmtId="181" formatCode="0.0%"/>
    <numFmt numFmtId="182" formatCode="\+0.0%;\-0.0%;0.0%"/>
    <numFmt numFmtId="183" formatCode="0.0&quot; CBM&quot;"/>
    <numFmt numFmtId="184" formatCode="#,##0&quot; KG&quot;"/>
  </numFmts>
  <fonts count="40">
    <font>
      <sz val="11"/>
      <color theme="1"/>
      <name val="宋体"/>
      <charset val="134"/>
      <scheme val="minor"/>
    </font>
    <font>
      <b/>
      <sz val="13"/>
      <color rgb="FFFFFFFF"/>
      <name val="Arial"/>
      <charset val="134"/>
    </font>
    <font>
      <i/>
      <sz val="9.5"/>
      <color rgb="FF1E293B"/>
      <name val="Arial"/>
      <charset val="134"/>
    </font>
    <font>
      <b/>
      <sz val="10"/>
      <color rgb="FFFFFFFF"/>
      <name val="Arial"/>
      <charset val="134"/>
    </font>
    <font>
      <sz val="9.5"/>
      <color rgb="FF1E293B"/>
      <name val="Arial"/>
      <charset val="134"/>
    </font>
    <font>
      <b/>
      <sz val="10"/>
      <color rgb="FF1E3A8A"/>
      <name val="Arial"/>
      <charset val="134"/>
    </font>
    <font>
      <b/>
      <sz val="10.5"/>
      <color rgb="FFFFFFFF"/>
      <name val="Microsoft YaHei"/>
      <charset val="134"/>
    </font>
    <font>
      <sz val="9.5"/>
      <color rgb="FF1E293B"/>
      <name val="Microsoft YaHei"/>
      <charset val="134"/>
    </font>
    <font>
      <b/>
      <sz val="9.5"/>
      <color rgb="FF1E293B"/>
      <name val="Microsoft YaHei"/>
      <charset val="134"/>
    </font>
    <font>
      <b/>
      <sz val="9.5"/>
      <color rgb="FF1E3A8A"/>
      <name val="Microsoft YaHei"/>
      <charset val="134"/>
    </font>
    <font>
      <b/>
      <sz val="13"/>
      <color rgb="FFFFFFFF"/>
      <name val="Microsoft YaHei"/>
      <charset val="134"/>
    </font>
    <font>
      <sz val="9.5"/>
      <color rgb="FF475569"/>
      <name val="Microsoft YaHei"/>
      <charset val="134"/>
    </font>
    <font>
      <b/>
      <sz val="11"/>
      <color rgb="FF1E3A8A"/>
      <name val="Microsoft YaHei"/>
      <charset val="134"/>
    </font>
    <font>
      <b/>
      <sz val="10"/>
      <color rgb="FFFFFFFF"/>
      <name val="Microsoft YaHei"/>
      <charset val="134"/>
    </font>
    <font>
      <b/>
      <sz val="10"/>
      <color rgb="FF1E293B"/>
      <name val="Microsoft YaHei"/>
      <charset val="134"/>
    </font>
    <font>
      <sz val="10"/>
      <color rgb="FF1E293B"/>
      <name val="Microsoft YaHei"/>
      <charset val="134"/>
    </font>
    <font>
      <b/>
      <sz val="10"/>
      <color rgb="FFB91C1C"/>
      <name val="Microsoft YaHei"/>
      <charset val="134"/>
    </font>
    <font>
      <sz val="10"/>
      <color rgb="FFB91C1C"/>
      <name val="Microsoft YaHei"/>
      <charset val="134"/>
    </font>
    <font>
      <i/>
      <sz val="9.5"/>
      <color rgb="FF475569"/>
      <name val="Microsoft YaHei"/>
      <charset val="134"/>
    </font>
    <font>
      <b/>
      <sz val="10"/>
      <color rgb="FF1E3A8A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0" fillId="0" borderId="0" applyFont="0" applyFill="0" applyBorder="0" applyAlignment="0" applyProtection="0">
      <alignment vertical="center"/>
    </xf>
    <xf numFmtId="176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9" borderId="2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5" applyNumberFormat="0" applyAlignment="0" applyProtection="0">
      <alignment vertical="center"/>
    </xf>
    <xf numFmtId="0" fontId="30" fillId="11" borderId="6" applyNumberFormat="0" applyAlignment="0" applyProtection="0">
      <alignment vertical="center"/>
    </xf>
    <xf numFmtId="0" fontId="31" fillId="11" borderId="5" applyNumberFormat="0" applyAlignment="0" applyProtection="0">
      <alignment vertical="center"/>
    </xf>
    <xf numFmtId="0" fontId="32" fillId="12" borderId="7" applyNumberFormat="0" applyAlignment="0" applyProtection="0">
      <alignment vertical="center"/>
    </xf>
    <xf numFmtId="0" fontId="33" fillId="0" borderId="8" applyNumberFormat="0" applyFill="0" applyAlignment="0" applyProtection="0">
      <alignment vertical="center"/>
    </xf>
    <xf numFmtId="0" fontId="34" fillId="0" borderId="9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</cellStyleXfs>
  <cellXfs count="6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3" fontId="4" fillId="5" borderId="1" xfId="0" applyNumberFormat="1" applyFont="1" applyFill="1" applyBorder="1" applyAlignment="1">
      <alignment horizontal="center" vertical="center"/>
    </xf>
    <xf numFmtId="177" fontId="5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indent="1"/>
    </xf>
    <xf numFmtId="3" fontId="4" fillId="3" borderId="1" xfId="0" applyNumberFormat="1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178" fontId="8" fillId="5" borderId="1" xfId="0" applyNumberFormat="1" applyFont="1" applyFill="1" applyBorder="1" applyAlignment="1">
      <alignment horizontal="right" vertical="center"/>
    </xf>
    <xf numFmtId="3" fontId="7" fillId="5" borderId="1" xfId="0" applyNumberFormat="1" applyFont="1" applyFill="1" applyBorder="1" applyAlignment="1">
      <alignment horizontal="center" vertical="center"/>
    </xf>
    <xf numFmtId="179" fontId="7" fillId="5" borderId="1" xfId="0" applyNumberFormat="1" applyFont="1" applyFill="1" applyBorder="1" applyAlignment="1">
      <alignment horizontal="center" vertical="center"/>
    </xf>
    <xf numFmtId="180" fontId="7" fillId="5" borderId="1" xfId="0" applyNumberFormat="1" applyFont="1" applyFill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81" fontId="7" fillId="7" borderId="1" xfId="0" applyNumberFormat="1" applyFont="1" applyFill="1" applyBorder="1" applyAlignment="1">
      <alignment horizontal="center" vertical="center"/>
    </xf>
    <xf numFmtId="177" fontId="9" fillId="7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indent="1"/>
    </xf>
    <xf numFmtId="178" fontId="8" fillId="3" borderId="1" xfId="0" applyNumberFormat="1" applyFont="1" applyFill="1" applyBorder="1" applyAlignment="1">
      <alignment horizontal="right" vertical="center"/>
    </xf>
    <xf numFmtId="3" fontId="7" fillId="3" borderId="1" xfId="0" applyNumberFormat="1" applyFont="1" applyFill="1" applyBorder="1" applyAlignment="1">
      <alignment horizontal="center" vertical="center"/>
    </xf>
    <xf numFmtId="179" fontId="7" fillId="3" borderId="1" xfId="0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181" fontId="7" fillId="3" borderId="1" xfId="0" applyNumberFormat="1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 indent="1"/>
    </xf>
    <xf numFmtId="0" fontId="12" fillId="8" borderId="0" xfId="0" applyFont="1" applyFill="1" applyAlignment="1">
      <alignment horizontal="left" vertical="center" indent="1"/>
    </xf>
    <xf numFmtId="0" fontId="13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 indent="1"/>
    </xf>
    <xf numFmtId="0" fontId="14" fillId="3" borderId="1" xfId="0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 indent="1"/>
    </xf>
    <xf numFmtId="0" fontId="14" fillId="5" borderId="1" xfId="0" applyFont="1" applyFill="1" applyBorder="1" applyAlignment="1">
      <alignment horizontal="left" vertical="center" indent="1"/>
    </xf>
    <xf numFmtId="181" fontId="14" fillId="5" borderId="1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 indent="1"/>
    </xf>
    <xf numFmtId="181" fontId="16" fillId="3" borderId="1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left" vertical="center" indent="1"/>
    </xf>
    <xf numFmtId="180" fontId="14" fillId="5" borderId="1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178" fontId="15" fillId="5" borderId="1" xfId="0" applyNumberFormat="1" applyFont="1" applyFill="1" applyBorder="1" applyAlignment="1">
      <alignment horizontal="center" vertical="center"/>
    </xf>
    <xf numFmtId="178" fontId="15" fillId="3" borderId="1" xfId="0" applyNumberFormat="1" applyFont="1" applyFill="1" applyBorder="1" applyAlignment="1">
      <alignment horizontal="center" vertical="center"/>
    </xf>
    <xf numFmtId="182" fontId="15" fillId="5" borderId="1" xfId="0" applyNumberFormat="1" applyFont="1" applyFill="1" applyBorder="1" applyAlignment="1">
      <alignment horizontal="center" vertical="center"/>
    </xf>
    <xf numFmtId="182" fontId="15" fillId="3" borderId="1" xfId="0" applyNumberFormat="1" applyFont="1" applyFill="1" applyBorder="1" applyAlignment="1">
      <alignment horizontal="center" vertical="center"/>
    </xf>
    <xf numFmtId="183" fontId="15" fillId="5" borderId="1" xfId="0" applyNumberFormat="1" applyFont="1" applyFill="1" applyBorder="1" applyAlignment="1">
      <alignment horizontal="center" vertical="center"/>
    </xf>
    <xf numFmtId="184" fontId="15" fillId="5" borderId="1" xfId="0" applyNumberFormat="1" applyFont="1" applyFill="1" applyBorder="1" applyAlignment="1">
      <alignment horizontal="center" vertical="center"/>
    </xf>
    <xf numFmtId="183" fontId="15" fillId="3" borderId="1" xfId="0" applyNumberFormat="1" applyFont="1" applyFill="1" applyBorder="1" applyAlignment="1">
      <alignment horizontal="center" vertical="center"/>
    </xf>
    <xf numFmtId="184" fontId="15" fillId="3" borderId="1" xfId="0" applyNumberFormat="1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9" fillId="8" borderId="1" xfId="0" applyFont="1" applyFill="1" applyBorder="1" applyAlignment="1">
      <alignment horizontal="left" vertical="center" indent="1"/>
    </xf>
    <xf numFmtId="0" fontId="7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10"/>
  <sheetViews>
    <sheetView tabSelected="1" workbookViewId="0">
      <selection activeCell="A1" sqref="A1"/>
    </sheetView>
  </sheetViews>
  <sheetFormatPr defaultColWidth="9" defaultRowHeight="14.4" outlineLevelCol="2"/>
  <cols>
    <col min="1" max="1" width="5" customWidth="1"/>
    <col min="2" max="2" width="42.8888888888889" customWidth="1"/>
    <col min="3" max="3" width="100.666666666667" customWidth="1"/>
  </cols>
  <sheetData>
    <row r="2" ht="38" customHeight="1" spans="2:3">
      <c r="B2" s="34" t="s">
        <v>0</v>
      </c>
      <c r="C2" s="34"/>
    </row>
    <row r="3" ht="24" customHeight="1" spans="2:3">
      <c r="B3" s="62" t="s">
        <v>1</v>
      </c>
      <c r="C3" s="62"/>
    </row>
    <row r="5" ht="36" customHeight="1" spans="2:3">
      <c r="B5" s="63" t="s">
        <v>2</v>
      </c>
      <c r="C5" s="64" t="s">
        <v>3</v>
      </c>
    </row>
    <row r="6" ht="36" customHeight="1" spans="2:3">
      <c r="B6" s="63" t="s">
        <v>4</v>
      </c>
      <c r="C6" s="65" t="s">
        <v>5</v>
      </c>
    </row>
    <row r="7" ht="36" customHeight="1" spans="2:3">
      <c r="B7" s="63" t="s">
        <v>6</v>
      </c>
      <c r="C7" s="64" t="s">
        <v>7</v>
      </c>
    </row>
    <row r="8" ht="36" customHeight="1" spans="2:3">
      <c r="B8" s="63" t="s">
        <v>8</v>
      </c>
      <c r="C8" s="65" t="s">
        <v>9</v>
      </c>
    </row>
    <row r="9" ht="50" customHeight="1" spans="2:3">
      <c r="B9" s="63" t="s">
        <v>10</v>
      </c>
      <c r="C9" s="64" t="s">
        <v>11</v>
      </c>
    </row>
    <row r="10" ht="36" customHeight="1" spans="2:3">
      <c r="B10" s="63" t="s">
        <v>12</v>
      </c>
      <c r="C10" s="65" t="s">
        <v>13</v>
      </c>
    </row>
  </sheetData>
  <mergeCells count="2">
    <mergeCell ref="B2:C2"/>
    <mergeCell ref="B3:C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5"/>
  <sheetViews>
    <sheetView topLeftCell="A20" workbookViewId="0">
      <selection activeCell="A1" sqref="A1:E1"/>
    </sheetView>
  </sheetViews>
  <sheetFormatPr defaultColWidth="9" defaultRowHeight="14.4" outlineLevelCol="4"/>
  <cols>
    <col min="1" max="1" width="40" customWidth="1"/>
    <col min="2" max="2" width="32" customWidth="1"/>
    <col min="3" max="3" width="22" customWidth="1"/>
    <col min="4" max="4" width="60" customWidth="1"/>
    <col min="5" max="5" width="54" customWidth="1"/>
  </cols>
  <sheetData>
    <row r="1" ht="38" customHeight="1" spans="1:5">
      <c r="A1" s="34" t="s">
        <v>14</v>
      </c>
      <c r="B1" s="34"/>
      <c r="C1" s="34"/>
      <c r="D1" s="34"/>
      <c r="E1" s="34"/>
    </row>
    <row r="2" ht="24" customHeight="1" spans="1:5">
      <c r="A2" s="35" t="s">
        <v>15</v>
      </c>
      <c r="B2" s="35"/>
      <c r="C2" s="35"/>
      <c r="D2" s="35"/>
      <c r="E2" s="35"/>
    </row>
    <row r="4" ht="26" customHeight="1" spans="1:5">
      <c r="A4" s="36" t="s">
        <v>16</v>
      </c>
      <c r="B4" s="36"/>
      <c r="C4" s="36"/>
      <c r="D4" s="36"/>
      <c r="E4" s="36"/>
    </row>
    <row r="5" ht="24" customHeight="1" spans="1:5">
      <c r="A5" s="37" t="s">
        <v>17</v>
      </c>
      <c r="B5" s="37" t="s">
        <v>18</v>
      </c>
      <c r="C5" s="37" t="s">
        <v>19</v>
      </c>
      <c r="D5" s="37" t="s">
        <v>20</v>
      </c>
      <c r="E5" s="37" t="s">
        <v>21</v>
      </c>
    </row>
    <row r="6" ht="22" customHeight="1" spans="1:5">
      <c r="A6" s="38" t="s">
        <v>22</v>
      </c>
      <c r="B6" s="39">
        <v>7.2</v>
      </c>
      <c r="C6" s="40" t="s">
        <v>23</v>
      </c>
      <c r="D6" s="41" t="s">
        <v>24</v>
      </c>
      <c r="E6" s="41" t="s">
        <v>25</v>
      </c>
    </row>
    <row r="7" ht="22" customHeight="1" spans="1:5">
      <c r="A7" s="42" t="s">
        <v>26</v>
      </c>
      <c r="B7" s="43">
        <v>7.85</v>
      </c>
      <c r="C7" s="44" t="s">
        <v>27</v>
      </c>
      <c r="D7" s="45" t="s">
        <v>28</v>
      </c>
      <c r="E7" s="45" t="s">
        <v>29</v>
      </c>
    </row>
    <row r="8" ht="22" customHeight="1" spans="1:5">
      <c r="A8" s="38" t="s">
        <v>30</v>
      </c>
      <c r="B8" s="39">
        <v>9.1</v>
      </c>
      <c r="C8" s="40" t="s">
        <v>31</v>
      </c>
      <c r="D8" s="41" t="s">
        <v>28</v>
      </c>
      <c r="E8" s="41" t="s">
        <v>32</v>
      </c>
    </row>
    <row r="9" ht="22" customHeight="1" spans="1:5">
      <c r="A9" s="42" t="s">
        <v>33</v>
      </c>
      <c r="B9" s="43">
        <v>4.8</v>
      </c>
      <c r="C9" s="44" t="s">
        <v>34</v>
      </c>
      <c r="D9" s="45" t="s">
        <v>28</v>
      </c>
      <c r="E9" s="45" t="s">
        <v>35</v>
      </c>
    </row>
    <row r="10" ht="22" customHeight="1" spans="1:5">
      <c r="A10" s="38" t="s">
        <v>36</v>
      </c>
      <c r="B10" s="39">
        <v>5.3</v>
      </c>
      <c r="C10" s="40" t="s">
        <v>37</v>
      </c>
      <c r="D10" s="41" t="s">
        <v>28</v>
      </c>
      <c r="E10" s="41" t="s">
        <v>38</v>
      </c>
    </row>
    <row r="12" ht="26" customHeight="1" spans="1:5">
      <c r="A12" s="36" t="s">
        <v>39</v>
      </c>
      <c r="B12" s="36"/>
      <c r="C12" s="36"/>
      <c r="D12" s="36"/>
      <c r="E12" s="36"/>
    </row>
    <row r="13" ht="24" customHeight="1" spans="1:5">
      <c r="A13" s="37" t="s">
        <v>40</v>
      </c>
      <c r="B13" s="37" t="s">
        <v>41</v>
      </c>
      <c r="C13" s="37" t="s">
        <v>42</v>
      </c>
      <c r="D13" s="37" t="s">
        <v>43</v>
      </c>
      <c r="E13" s="37" t="s">
        <v>44</v>
      </c>
    </row>
    <row r="14" ht="22" customHeight="1" spans="1:5">
      <c r="A14" s="46" t="s">
        <v>45</v>
      </c>
      <c r="B14" s="47">
        <v>0.15</v>
      </c>
      <c r="C14" s="40" t="s">
        <v>46</v>
      </c>
      <c r="D14" s="41" t="s">
        <v>47</v>
      </c>
      <c r="E14" s="41" t="s">
        <v>48</v>
      </c>
    </row>
    <row r="15" ht="22" customHeight="1" spans="1:5">
      <c r="A15" s="48" t="s">
        <v>49</v>
      </c>
      <c r="B15" s="49">
        <v>0.08</v>
      </c>
      <c r="C15" s="50" t="s">
        <v>50</v>
      </c>
      <c r="D15" s="51" t="s">
        <v>51</v>
      </c>
      <c r="E15" s="51" t="s">
        <v>52</v>
      </c>
    </row>
    <row r="16" ht="22" customHeight="1" spans="1:5">
      <c r="A16" s="46" t="s">
        <v>53</v>
      </c>
      <c r="B16" s="52">
        <v>2.5</v>
      </c>
      <c r="C16" s="40" t="s">
        <v>54</v>
      </c>
      <c r="D16" s="41" t="s">
        <v>55</v>
      </c>
      <c r="E16" s="41" t="s">
        <v>56</v>
      </c>
    </row>
    <row r="17" ht="22" customHeight="1" spans="1:5">
      <c r="A17" s="53" t="s">
        <v>57</v>
      </c>
      <c r="B17" s="42" t="s">
        <v>58</v>
      </c>
      <c r="C17" s="44" t="s">
        <v>59</v>
      </c>
      <c r="D17" s="45" t="s">
        <v>60</v>
      </c>
      <c r="E17" s="45" t="s">
        <v>61</v>
      </c>
    </row>
    <row r="19" ht="26" customHeight="1" spans="1:5">
      <c r="A19" s="36" t="s">
        <v>62</v>
      </c>
      <c r="B19" s="36"/>
      <c r="C19" s="36"/>
      <c r="D19" s="36"/>
      <c r="E19" s="36"/>
    </row>
    <row r="20" ht="24" customHeight="1" spans="1:5">
      <c r="A20" s="37" t="s">
        <v>63</v>
      </c>
      <c r="B20" s="37" t="s">
        <v>64</v>
      </c>
      <c r="C20" s="37" t="s">
        <v>65</v>
      </c>
      <c r="D20" s="37" t="s">
        <v>66</v>
      </c>
      <c r="E20" s="37" t="s">
        <v>67</v>
      </c>
    </row>
    <row r="21" ht="22" customHeight="1" spans="1:5">
      <c r="A21" s="38" t="s">
        <v>68</v>
      </c>
      <c r="B21" s="41" t="s">
        <v>69</v>
      </c>
      <c r="C21" s="54">
        <v>0</v>
      </c>
      <c r="D21" s="54">
        <v>0</v>
      </c>
      <c r="E21" s="41" t="s">
        <v>70</v>
      </c>
    </row>
    <row r="22" ht="22" customHeight="1" spans="1:5">
      <c r="A22" s="42" t="s">
        <v>71</v>
      </c>
      <c r="B22" s="45" t="s">
        <v>72</v>
      </c>
      <c r="C22" s="55">
        <v>0.2</v>
      </c>
      <c r="D22" s="55">
        <v>1500</v>
      </c>
      <c r="E22" s="45" t="s">
        <v>73</v>
      </c>
    </row>
    <row r="23" ht="22" customHeight="1" spans="1:5">
      <c r="A23" s="38" t="s">
        <v>74</v>
      </c>
      <c r="B23" s="41" t="s">
        <v>75</v>
      </c>
      <c r="C23" s="40" t="s">
        <v>76</v>
      </c>
      <c r="D23" s="40" t="s">
        <v>77</v>
      </c>
      <c r="E23" s="41" t="s">
        <v>78</v>
      </c>
    </row>
    <row r="25" ht="26" customHeight="1" spans="1:5">
      <c r="A25" s="36" t="s">
        <v>79</v>
      </c>
      <c r="B25" s="36"/>
      <c r="C25" s="36"/>
      <c r="D25" s="36"/>
      <c r="E25" s="36"/>
    </row>
    <row r="26" ht="24" customHeight="1" spans="1:5">
      <c r="A26" s="37" t="s">
        <v>80</v>
      </c>
      <c r="B26" s="37" t="s">
        <v>81</v>
      </c>
      <c r="C26" s="37" t="s">
        <v>82</v>
      </c>
      <c r="D26" s="37" t="s">
        <v>83</v>
      </c>
      <c r="E26" s="37" t="s">
        <v>84</v>
      </c>
    </row>
    <row r="27" ht="22" customHeight="1" spans="1:5">
      <c r="A27" s="46" t="s">
        <v>85</v>
      </c>
      <c r="B27" s="56">
        <v>-0.02</v>
      </c>
      <c r="C27" s="40" t="s">
        <v>86</v>
      </c>
      <c r="D27" s="41" t="s">
        <v>87</v>
      </c>
      <c r="E27" s="41" t="s">
        <v>88</v>
      </c>
    </row>
    <row r="28" ht="22" customHeight="1" spans="1:5">
      <c r="A28" s="53" t="s">
        <v>89</v>
      </c>
      <c r="B28" s="57">
        <v>0</v>
      </c>
      <c r="C28" s="44" t="s">
        <v>86</v>
      </c>
      <c r="D28" s="45" t="s">
        <v>90</v>
      </c>
      <c r="E28" s="45" t="s">
        <v>91</v>
      </c>
    </row>
    <row r="29" ht="22" customHeight="1" spans="1:5">
      <c r="A29" s="46" t="s">
        <v>92</v>
      </c>
      <c r="B29" s="56">
        <v>0.015</v>
      </c>
      <c r="C29" s="40" t="s">
        <v>93</v>
      </c>
      <c r="D29" s="41" t="s">
        <v>94</v>
      </c>
      <c r="E29" s="41" t="s">
        <v>95</v>
      </c>
    </row>
    <row r="31" ht="26" customHeight="1" spans="1:5">
      <c r="A31" s="36" t="s">
        <v>96</v>
      </c>
      <c r="B31" s="36"/>
      <c r="C31" s="36"/>
      <c r="D31" s="36"/>
      <c r="E31" s="36"/>
    </row>
    <row r="32" ht="24" customHeight="1" spans="1:5">
      <c r="A32" s="37" t="s">
        <v>97</v>
      </c>
      <c r="B32" s="37" t="s">
        <v>98</v>
      </c>
      <c r="C32" s="37" t="s">
        <v>99</v>
      </c>
      <c r="D32" s="37" t="s">
        <v>100</v>
      </c>
      <c r="E32" s="37" t="s">
        <v>101</v>
      </c>
    </row>
    <row r="33" ht="22" customHeight="1" spans="1:5">
      <c r="A33" s="46" t="s">
        <v>102</v>
      </c>
      <c r="B33" s="58">
        <v>28</v>
      </c>
      <c r="C33" s="58">
        <v>33.2</v>
      </c>
      <c r="D33" s="59">
        <v>21800</v>
      </c>
      <c r="E33" s="41" t="s">
        <v>103</v>
      </c>
    </row>
    <row r="34" ht="22" customHeight="1" spans="1:5">
      <c r="A34" s="53" t="s">
        <v>104</v>
      </c>
      <c r="B34" s="60">
        <v>58</v>
      </c>
      <c r="C34" s="60">
        <v>67.7</v>
      </c>
      <c r="D34" s="61">
        <v>26000</v>
      </c>
      <c r="E34" s="45" t="s">
        <v>105</v>
      </c>
    </row>
    <row r="35" ht="22" customHeight="1" spans="1:5">
      <c r="A35" s="46" t="s">
        <v>106</v>
      </c>
      <c r="B35" s="58">
        <v>68</v>
      </c>
      <c r="C35" s="58">
        <v>76.3</v>
      </c>
      <c r="D35" s="59">
        <v>26000</v>
      </c>
      <c r="E35" s="41" t="s">
        <v>107</v>
      </c>
    </row>
  </sheetData>
  <mergeCells count="7">
    <mergeCell ref="A1:E1"/>
    <mergeCell ref="A2:E2"/>
    <mergeCell ref="A4:E4"/>
    <mergeCell ref="A12:E12"/>
    <mergeCell ref="A19:E19"/>
    <mergeCell ref="A25:E25"/>
    <mergeCell ref="A31:E31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topLeftCell="C1" workbookViewId="0">
      <selection activeCell="E15" sqref="E15"/>
    </sheetView>
  </sheetViews>
  <sheetFormatPr defaultColWidth="9" defaultRowHeight="14.4" outlineLevelRow="6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>
      <c r="A1" s="13" t="s">
        <v>108</v>
      </c>
      <c r="B1" s="13" t="s">
        <v>109</v>
      </c>
      <c r="C1" s="13" t="s">
        <v>110</v>
      </c>
      <c r="D1" s="13" t="s">
        <v>111</v>
      </c>
      <c r="E1" s="13" t="s">
        <v>112</v>
      </c>
      <c r="F1" s="13" t="s">
        <v>113</v>
      </c>
      <c r="G1" s="13" t="s">
        <v>114</v>
      </c>
      <c r="H1" s="13" t="s">
        <v>115</v>
      </c>
      <c r="I1" s="13" t="s">
        <v>116</v>
      </c>
      <c r="J1" s="13" t="s">
        <v>117</v>
      </c>
      <c r="K1" s="13" t="s">
        <v>118</v>
      </c>
      <c r="L1" s="14" t="s">
        <v>119</v>
      </c>
      <c r="M1" s="14" t="s">
        <v>120</v>
      </c>
      <c r="N1" s="14" t="s">
        <v>121</v>
      </c>
      <c r="O1" s="14" t="s">
        <v>122</v>
      </c>
      <c r="P1" s="14" t="s">
        <v>123</v>
      </c>
      <c r="Q1" s="14" t="s">
        <v>124</v>
      </c>
    </row>
    <row r="2" ht="24" customHeight="1" spans="1:17">
      <c r="A2" s="15" t="s">
        <v>125</v>
      </c>
      <c r="B2" s="16" t="s">
        <v>126</v>
      </c>
      <c r="C2" s="16" t="s">
        <v>127</v>
      </c>
      <c r="D2" s="17">
        <v>15.5</v>
      </c>
      <c r="E2" s="18">
        <v>600</v>
      </c>
      <c r="F2" s="18">
        <v>50</v>
      </c>
      <c r="G2" s="19">
        <v>0.045</v>
      </c>
      <c r="H2" s="20">
        <v>14.5</v>
      </c>
      <c r="I2" s="21"/>
      <c r="J2" s="15" t="s">
        <v>128</v>
      </c>
      <c r="K2" s="15" t="s">
        <v>129</v>
      </c>
      <c r="L2" s="22">
        <f>'⚙️ 全局核算参数 (Config)'!$C$22</f>
        <v>0.2</v>
      </c>
      <c r="M2" s="23">
        <f>IF(ISBLANK(I2),'⚙️ 全局核算参数 (Config)'!$B$14,I2)</f>
        <v>0.15</v>
      </c>
      <c r="N2" s="24">
        <f>ROUND(((D2*(1+M2)+L2)/'⚙️ 全局核算参数 (Config)'!$B$6),2)</f>
        <v>2.5</v>
      </c>
      <c r="O2" s="25">
        <f>IF(AND(G2&gt;0,F2&gt;0),INT(('⚙️ 全局核算参数 (Config)'!$B$33/G2))*F2,"-")</f>
        <v>31100</v>
      </c>
      <c r="P2" s="25">
        <f>IF(AND(G2&gt;0,F2&gt;0),INT(('⚙️ 全局核算参数 (Config)'!$B$35/G2))*F2,"-")</f>
        <v>75550</v>
      </c>
      <c r="Q2" s="26" t="str">
        <f>IF(M2&lt;'⚙️ 全局核算参数 (Config)'!$B$15,"🚨 穿透红线",IF(M2&gt;=0.25,"💎 高毛利款","✅ 利润健康"))</f>
        <v>✅ 利润健康</v>
      </c>
    </row>
    <row r="3" ht="24" customHeight="1" spans="1:17">
      <c r="A3" s="27" t="s">
        <v>130</v>
      </c>
      <c r="B3" s="28" t="s">
        <v>131</v>
      </c>
      <c r="C3" s="28" t="s">
        <v>132</v>
      </c>
      <c r="D3" s="29">
        <v>0.85</v>
      </c>
      <c r="E3" s="30">
        <v>5000</v>
      </c>
      <c r="F3" s="30">
        <v>1000</v>
      </c>
      <c r="G3" s="31">
        <v>0.02</v>
      </c>
      <c r="H3" s="32">
        <v>18</v>
      </c>
      <c r="I3" s="33">
        <v>0.18</v>
      </c>
      <c r="J3" s="27" t="s">
        <v>133</v>
      </c>
      <c r="K3" s="27" t="s">
        <v>134</v>
      </c>
      <c r="L3" s="22">
        <f>'⚙️ 全局核算参数 (Config)'!$C$22</f>
        <v>0.2</v>
      </c>
      <c r="M3" s="23">
        <f>IF(ISBLANK(I3),'⚙️ 全局核算参数 (Config)'!$B$14,I3)</f>
        <v>0.18</v>
      </c>
      <c r="N3" s="24">
        <f>ROUND(((D3*(1+M3)+L3)/'⚙️ 全局核算参数 (Config)'!$B$6),2)</f>
        <v>0.17</v>
      </c>
      <c r="O3" s="25">
        <f>IF(AND(G3&gt;0,F3&gt;0),INT(('⚙️ 全局核算参数 (Config)'!$B$33/G3))*F3,"-")</f>
        <v>1400000</v>
      </c>
      <c r="P3" s="25">
        <f>IF(AND(G3&gt;0,F3&gt;0),INT(('⚙️ 全局核算参数 (Config)'!$B$35/G3))*F3,"-")</f>
        <v>3400000</v>
      </c>
      <c r="Q3" s="26" t="str">
        <f>IF(M3&lt;'⚙️ 全局核算参数 (Config)'!$B$15,"🚨 穿透红线",IF(M3&gt;=0.25,"💎 高毛利款","✅ 利润健康"))</f>
        <v>✅ 利润健康</v>
      </c>
    </row>
    <row r="4" ht="24" customHeight="1" spans="1:17">
      <c r="A4" s="15" t="s">
        <v>135</v>
      </c>
      <c r="B4" s="16" t="s">
        <v>136</v>
      </c>
      <c r="C4" s="16" t="s">
        <v>137</v>
      </c>
      <c r="D4" s="17">
        <v>185</v>
      </c>
      <c r="E4" s="18">
        <v>50</v>
      </c>
      <c r="F4" s="18">
        <v>1</v>
      </c>
      <c r="G4" s="19">
        <v>0.16</v>
      </c>
      <c r="H4" s="20">
        <v>16.2</v>
      </c>
      <c r="I4" s="21">
        <v>0.25</v>
      </c>
      <c r="J4" s="15" t="s">
        <v>138</v>
      </c>
      <c r="K4" s="15" t="s">
        <v>139</v>
      </c>
      <c r="L4" s="22">
        <f>'⚙️ 全局核算参数 (Config)'!$C$22</f>
        <v>0.2</v>
      </c>
      <c r="M4" s="23">
        <f>IF(ISBLANK(I4),'⚙️ 全局核算参数 (Config)'!$B$14,I4)</f>
        <v>0.25</v>
      </c>
      <c r="N4" s="24">
        <f>ROUND(((D4*(1+M4)+L4)/'⚙️ 全局核算参数 (Config)'!$B$6),2)</f>
        <v>32.15</v>
      </c>
      <c r="O4" s="25">
        <f>IF(AND(G4&gt;0,F4&gt;0),INT(('⚙️ 全局核算参数 (Config)'!$B$33/G4))*F4,"-")</f>
        <v>175</v>
      </c>
      <c r="P4" s="25">
        <f>IF(AND(G4&gt;0,F4&gt;0),INT(('⚙️ 全局核算参数 (Config)'!$B$35/G4))*F4,"-")</f>
        <v>425</v>
      </c>
      <c r="Q4" s="26" t="str">
        <f>IF(M4&lt;'⚙️ 全局核算参数 (Config)'!$B$15,"🚨 穿透红线",IF(M4&gt;=0.25,"💎 高毛利款","✅ 利润健康"))</f>
        <v>💎 高毛利款</v>
      </c>
    </row>
    <row r="5" ht="24" customHeight="1" spans="1:17">
      <c r="A5" s="27" t="s">
        <v>140</v>
      </c>
      <c r="B5" s="28" t="s">
        <v>141</v>
      </c>
      <c r="C5" s="28" t="s">
        <v>142</v>
      </c>
      <c r="D5" s="29">
        <v>38</v>
      </c>
      <c r="E5" s="30">
        <v>200</v>
      </c>
      <c r="F5" s="30">
        <v>5</v>
      </c>
      <c r="G5" s="31">
        <v>0.08</v>
      </c>
      <c r="H5" s="32">
        <v>11</v>
      </c>
      <c r="I5" s="33"/>
      <c r="J5" s="27" t="s">
        <v>143</v>
      </c>
      <c r="K5" s="27" t="s">
        <v>144</v>
      </c>
      <c r="L5" s="22">
        <f>'⚙️ 全局核算参数 (Config)'!$C$22</f>
        <v>0.2</v>
      </c>
      <c r="M5" s="23">
        <f>IF(ISBLANK(I5),'⚙️ 全局核算参数 (Config)'!$B$14,I5)</f>
        <v>0.15</v>
      </c>
      <c r="N5" s="24">
        <f>ROUND(((D5*(1+M5)+L5)/'⚙️ 全局核算参数 (Config)'!$B$6),2)</f>
        <v>6.1</v>
      </c>
      <c r="O5" s="25">
        <f>IF(AND(G5&gt;0,F5&gt;0),INT(('⚙️ 全局核算参数 (Config)'!$B$33/G5))*F5,"-")</f>
        <v>1750</v>
      </c>
      <c r="P5" s="25">
        <f>IF(AND(G5&gt;0,F5&gt;0),INT(('⚙️ 全局核算参数 (Config)'!$B$35/G5))*F5,"-")</f>
        <v>4250</v>
      </c>
      <c r="Q5" s="26" t="str">
        <f>IF(M5&lt;'⚙️ 全局核算参数 (Config)'!$B$15,"🚨 穿透红线",IF(M5&gt;=0.25,"💎 高毛利款","✅ 利润健康"))</f>
        <v>✅ 利润健康</v>
      </c>
    </row>
    <row r="6" ht="24" customHeight="1" spans="1:17">
      <c r="A6" s="15" t="s">
        <v>145</v>
      </c>
      <c r="B6" s="16" t="s">
        <v>146</v>
      </c>
      <c r="C6" s="16" t="s">
        <v>147</v>
      </c>
      <c r="D6" s="17">
        <v>24</v>
      </c>
      <c r="E6" s="18">
        <v>300</v>
      </c>
      <c r="F6" s="18">
        <v>20</v>
      </c>
      <c r="G6" s="19">
        <v>0.055</v>
      </c>
      <c r="H6" s="20">
        <v>9.5</v>
      </c>
      <c r="I6" s="21"/>
      <c r="J6" s="15" t="s">
        <v>128</v>
      </c>
      <c r="K6" s="15" t="s">
        <v>144</v>
      </c>
      <c r="L6" s="22">
        <f>'⚙️ 全局核算参数 (Config)'!$C$22</f>
        <v>0.2</v>
      </c>
      <c r="M6" s="23">
        <f>IF(ISBLANK(I6),'⚙️ 全局核算参数 (Config)'!$B$14,I6)</f>
        <v>0.15</v>
      </c>
      <c r="N6" s="24">
        <f>ROUND(((D6*(1+M6)+L6)/'⚙️ 全局核算参数 (Config)'!$B$6),2)</f>
        <v>3.86</v>
      </c>
      <c r="O6" s="25">
        <f>IF(AND(G6&gt;0,F6&gt;0),INT(('⚙️ 全局核算参数 (Config)'!$B$33/G6))*F6,"-")</f>
        <v>10180</v>
      </c>
      <c r="P6" s="25">
        <f>IF(AND(G6&gt;0,F6&gt;0),INT(('⚙️ 全局核算参数 (Config)'!$B$35/G6))*F6,"-")</f>
        <v>24720</v>
      </c>
      <c r="Q6" s="26" t="str">
        <f>IF(M6&lt;'⚙️ 全局核算参数 (Config)'!$B$15,"🚨 穿透红线",IF(M6&gt;=0.25,"💎 高毛利款","✅ 利润健康"))</f>
        <v>✅ 利润健康</v>
      </c>
    </row>
    <row r="7" ht="24" customHeight="1" spans="1:17">
      <c r="A7" s="27" t="s">
        <v>148</v>
      </c>
      <c r="B7" s="28" t="s">
        <v>149</v>
      </c>
      <c r="C7" s="28" t="s">
        <v>147</v>
      </c>
      <c r="D7" s="29">
        <v>25</v>
      </c>
      <c r="E7" s="30">
        <v>300</v>
      </c>
      <c r="F7" s="30">
        <v>20</v>
      </c>
      <c r="G7" s="31">
        <v>0.055</v>
      </c>
      <c r="H7" s="32">
        <v>9.5</v>
      </c>
      <c r="I7" s="33"/>
      <c r="J7" s="27" t="s">
        <v>128</v>
      </c>
      <c r="K7" s="27" t="s">
        <v>144</v>
      </c>
      <c r="L7" s="22">
        <f>'⚙️ 全局核算参数 (Config)'!$C$22</f>
        <v>0.2</v>
      </c>
      <c r="M7" s="23">
        <f>IF(ISBLANK(I7),'⚙️ 全局核算参数 (Config)'!$B$14,I7)</f>
        <v>0.15</v>
      </c>
      <c r="N7" s="24">
        <f>ROUND(((D7*(1+M7)+L7)/'⚙️ 全局核算参数 (Config)'!$B$6),2)</f>
        <v>4.02</v>
      </c>
      <c r="O7" s="25">
        <f>IF(AND(G7&gt;0,F7&gt;0),INT(('⚙️ 全局核算参数 (Config)'!$B$33/G7))*F7,"-")</f>
        <v>10180</v>
      </c>
      <c r="P7" s="25">
        <f>IF(AND(G7&gt;0,F7&gt;0),INT(('⚙️ 全局核算参数 (Config)'!$B$35/G7))*F7,"-")</f>
        <v>24720</v>
      </c>
      <c r="Q7" s="26" t="str">
        <f>IF(M7&lt;'⚙️ 全局核算参数 (Config)'!$B$15,"🚨 穿透红线",IF(M7&gt;=0.25,"💎 高毛利款","✅ 利润健康"))</f>
        <v>✅ 利润健康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A1" sqref="A1:I1"/>
    </sheetView>
  </sheetViews>
  <sheetFormatPr defaultColWidth="9" defaultRowHeight="14.4"/>
  <cols>
    <col min="1" max="1" width="8" customWidth="1"/>
    <col min="2" max="2" width="20" customWidth="1"/>
    <col min="3" max="3" width="55" customWidth="1"/>
    <col min="4" max="4" width="14" customWidth="1"/>
    <col min="5" max="5" width="22" customWidth="1"/>
    <col min="6" max="6" width="18" customWidth="1"/>
    <col min="7" max="9" width="20" customWidth="1"/>
  </cols>
  <sheetData>
    <row r="1" ht="36" customHeight="1" spans="1:9">
      <c r="A1" s="1" t="s">
        <v>150</v>
      </c>
      <c r="B1" s="1"/>
      <c r="C1" s="1"/>
      <c r="D1" s="1"/>
      <c r="E1" s="1"/>
      <c r="F1" s="1"/>
      <c r="G1" s="1"/>
      <c r="H1" s="1"/>
      <c r="I1" s="1"/>
    </row>
    <row r="2" ht="24" customHeight="1" spans="1:9">
      <c r="A2" s="2" t="s">
        <v>151</v>
      </c>
      <c r="B2" s="2"/>
      <c r="C2" s="2"/>
      <c r="D2" s="2"/>
      <c r="E2" s="2"/>
      <c r="F2" s="3" t="s">
        <v>152</v>
      </c>
      <c r="G2" s="3"/>
      <c r="H2" s="3"/>
      <c r="I2" s="3"/>
    </row>
    <row r="3" ht="26" customHeight="1" spans="1:9">
      <c r="A3" s="4" t="s">
        <v>153</v>
      </c>
      <c r="B3" s="4" t="s">
        <v>154</v>
      </c>
      <c r="C3" s="4" t="s">
        <v>155</v>
      </c>
      <c r="D3" s="4" t="s">
        <v>156</v>
      </c>
      <c r="E3" s="4" t="s">
        <v>157</v>
      </c>
      <c r="F3" s="4" t="s">
        <v>158</v>
      </c>
      <c r="G3" s="4" t="s">
        <v>159</v>
      </c>
      <c r="H3" s="4" t="s">
        <v>160</v>
      </c>
      <c r="I3" s="4" t="s">
        <v>161</v>
      </c>
    </row>
    <row r="4" ht="22" customHeight="1" spans="1:9">
      <c r="A4" s="5">
        <v>1</v>
      </c>
      <c r="B4" s="5" t="str">
        <f>'📦 商品出厂底价库 (Products)'!A2</f>
        <v>ST-2026-A</v>
      </c>
      <c r="C4" s="6" t="str">
        <f>'📦 商品出厂底价库 (Products)'!C2</f>
        <v>Aluminum Alloy Precision Bracket (铝合金精密五金支架)</v>
      </c>
      <c r="D4" s="7">
        <f>'📦 商品出厂底价库 (Products)'!E2</f>
        <v>600</v>
      </c>
      <c r="E4" s="8">
        <f>'📦 商品出厂底价库 (Products)'!N2</f>
        <v>2.5</v>
      </c>
      <c r="F4" s="7">
        <f>'📦 商品出厂底价库 (Products)'!F2</f>
        <v>50</v>
      </c>
      <c r="G4" s="7">
        <f>'📦 商品出厂底价库 (Products)'!O2</f>
        <v>31100</v>
      </c>
      <c r="H4" s="7">
        <f>'📦 商品出厂底价库 (Products)'!P2</f>
        <v>75550</v>
      </c>
      <c r="I4" s="5" t="str">
        <f>'📦 商品出厂底价库 (Products)'!J2</f>
        <v>20-25 Days</v>
      </c>
    </row>
    <row r="5" ht="22" customHeight="1" spans="1:9">
      <c r="A5" s="9">
        <v>2</v>
      </c>
      <c r="B5" s="9" t="str">
        <f>'📦 商品出厂底价库 (Products)'!A3</f>
        <v>ST-2026-B</v>
      </c>
      <c r="C5" s="10" t="str">
        <f>'📦 商品出厂底价库 (Products)'!C3</f>
        <v>Stainless Steel Hex Fastener Screws (不锈钢沉头紧固件螺丝)</v>
      </c>
      <c r="D5" s="11">
        <f>'📦 商品出厂底价库 (Products)'!E3</f>
        <v>5000</v>
      </c>
      <c r="E5" s="12">
        <f>'📦 商品出厂底价库 (Products)'!N3</f>
        <v>0.17</v>
      </c>
      <c r="F5" s="11">
        <f>'📦 商品出厂底价库 (Products)'!F3</f>
        <v>1000</v>
      </c>
      <c r="G5" s="11">
        <f>'📦 商品出厂底价库 (Products)'!O3</f>
        <v>1400000</v>
      </c>
      <c r="H5" s="11">
        <f>'📦 商品出厂底价库 (Products)'!P3</f>
        <v>3400000</v>
      </c>
      <c r="I5" s="9" t="str">
        <f>'📦 商品出厂底价库 (Products)'!J3</f>
        <v>15-20 Days</v>
      </c>
    </row>
    <row r="6" ht="22" customHeight="1" spans="1:9">
      <c r="A6" s="5">
        <v>3</v>
      </c>
      <c r="B6" s="5" t="str">
        <f>'📦 商品出厂底价库 (Products)'!A4</f>
        <v>ERG-PRO-V2</v>
      </c>
      <c r="C6" s="6" t="str">
        <f>'📦 商品出厂底价库 (Products)'!C4</f>
        <v>Ergonomic Mesh Office Chair (高档网布人体工学办公椅)</v>
      </c>
      <c r="D6" s="7">
        <f>'📦 商品出厂底价库 (Products)'!E4</f>
        <v>50</v>
      </c>
      <c r="E6" s="8">
        <f>'📦 商品出厂底价库 (Products)'!N4</f>
        <v>32.15</v>
      </c>
      <c r="F6" s="7">
        <f>'📦 商品出厂底价库 (Products)'!F4</f>
        <v>1</v>
      </c>
      <c r="G6" s="7">
        <f>'📦 商品出厂底价库 (Products)'!O4</f>
        <v>175</v>
      </c>
      <c r="H6" s="7">
        <f>'📦 商品出厂底价库 (Products)'!P4</f>
        <v>425</v>
      </c>
      <c r="I6" s="5" t="str">
        <f>'📦 商品出厂底价库 (Products)'!J4</f>
        <v>30-35 Days</v>
      </c>
    </row>
    <row r="7" ht="22" customHeight="1" spans="1:9">
      <c r="A7" s="9">
        <v>4</v>
      </c>
      <c r="B7" s="9" t="str">
        <f>'📦 商品出厂底价库 (Products)'!A5</f>
        <v>AL-BASE-99</v>
      </c>
      <c r="C7" s="10" t="str">
        <f>'📦 商品出厂底价库 (Products)'!C5</f>
        <v>Die-casting Aluminum 5-Star Base (高压铸铝合金五星椅脚)</v>
      </c>
      <c r="D7" s="11">
        <f>'📦 商品出厂底价库 (Products)'!E5</f>
        <v>200</v>
      </c>
      <c r="E7" s="12">
        <f>'📦 商品出厂底价库 (Products)'!N5</f>
        <v>6.1</v>
      </c>
      <c r="F7" s="11">
        <f>'📦 商品出厂底价库 (Products)'!F5</f>
        <v>5</v>
      </c>
      <c r="G7" s="11">
        <f>'📦 商品出厂底价库 (Products)'!O5</f>
        <v>1750</v>
      </c>
      <c r="H7" s="11">
        <f>'📦 商品出厂底价库 (Products)'!P5</f>
        <v>4250</v>
      </c>
      <c r="I7" s="9" t="str">
        <f>'📦 商品出厂底价库 (Products)'!J5</f>
        <v>25-30 Days</v>
      </c>
    </row>
    <row r="8" ht="22" customHeight="1" spans="1:9">
      <c r="A8" s="5">
        <v>5</v>
      </c>
      <c r="B8" s="5" t="str">
        <f>'📦 商品出厂底价库 (Products)'!A6</f>
        <v>HD-ARM-08</v>
      </c>
      <c r="C8" s="6" t="str">
        <f>'📦 商品出厂底价库 (Products)'!C6</f>
        <v>3D Adjustable PU Armrest Set (3D多功能升降PU扶手套装)</v>
      </c>
      <c r="D8" s="7">
        <f>'📦 商品出厂底价库 (Products)'!E6</f>
        <v>300</v>
      </c>
      <c r="E8" s="8">
        <f>'📦 商品出厂底价库 (Products)'!N6</f>
        <v>3.86</v>
      </c>
      <c r="F8" s="7">
        <f>'📦 商品出厂底价库 (Products)'!F6</f>
        <v>20</v>
      </c>
      <c r="G8" s="7">
        <f>'📦 商品出厂底价库 (Products)'!O6</f>
        <v>10180</v>
      </c>
      <c r="H8" s="7">
        <f>'📦 商品出厂底价库 (Products)'!P6</f>
        <v>24720</v>
      </c>
      <c r="I8" s="5" t="str">
        <f>'📦 商品出厂底价库 (Products)'!J6</f>
        <v>20-25 Days</v>
      </c>
    </row>
    <row r="9" ht="22" customHeight="1" spans="1:9">
      <c r="A9" s="9">
        <v>6</v>
      </c>
      <c r="B9" s="9" t="str">
        <f>'📦 商品出厂底价库 (Products)'!A7</f>
        <v>HD-ARM-09</v>
      </c>
      <c r="C9" s="10" t="str">
        <f>'📦 商品出厂底价库 (Products)'!C7</f>
        <v>3D Adjustable PU Armrest Set (3D多功能升降PU扶手套装)</v>
      </c>
      <c r="D9" s="11">
        <f>'📦 商品出厂底价库 (Products)'!E7</f>
        <v>300</v>
      </c>
      <c r="E9" s="12">
        <f>'📦 商品出厂底价库 (Products)'!N7</f>
        <v>4.02</v>
      </c>
      <c r="F9" s="11">
        <f>'📦 商品出厂底价库 (Products)'!F7</f>
        <v>20</v>
      </c>
      <c r="G9" s="11">
        <f>'📦 商品出厂底价库 (Products)'!O7</f>
        <v>10180</v>
      </c>
      <c r="H9" s="11">
        <f>'📦 商品出厂底价库 (Products)'!P7</f>
        <v>24720</v>
      </c>
      <c r="I9" s="9" t="str">
        <f>'📦 商品出厂底价库 (Products)'!J7</f>
        <v>20-25 Days</v>
      </c>
    </row>
  </sheetData>
  <mergeCells count="3">
    <mergeCell ref="A1:I1"/>
    <mergeCell ref="A2:E2"/>
    <mergeCell ref="F2:I2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cp:lastModifiedBy>K&amp;I</cp:lastModifiedBy>
  <dcterms:created xsi:type="dcterms:W3CDTF">2026-10-12T07:20:00Z</dcterms:created>
  <dcterms:modified xsi:type="dcterms:W3CDTF">2026-10-12T07:35:54Z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FB1FE618460F4AF4A72CAB836F51878C_12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