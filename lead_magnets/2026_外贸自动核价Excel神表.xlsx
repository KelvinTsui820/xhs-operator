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📌使用指南与提效神器" state="visible" r:id="rId4"/>
    <sheet sheetId="2" name="1-商品底价与阶梯库" state="visible" r:id="rId5"/>
    <sheet sheetId="3" name="2-选配工艺加价库" state="visible" r:id="rId6"/>
    <sheet sheetId="4" name="3-外贸精准核价计算台" state="visible" r:id="rId7"/>
  </sheets>
  <calcPr calcId="171027"/>
</workbook>
</file>

<file path=xl/sharedStrings.xml><?xml version="1.0" encoding="utf-8"?>
<sst xmlns="http://schemas.openxmlformats.org/spreadsheetml/2006/main" count="98" uniqueCount="89">
  <si>
    <t>【2026 外贸自动核价 Excel 神表】使用指南</t>
  </si>
  <si>
    <t/>
  </si>
  <si>
    <t>核心设计目的</t>
  </si>
  <si>
    <t>帮助外贸业务员/老板告别错算漏算，一键实现阶梯底价匹配、汇率安全折算、港口运费分摊。</t>
  </si>
  <si>
    <t>绿色单元格含义</t>
  </si>
  <si>
    <t>【用户输入区】只有绿色底色的单元格需要你手工填写或选择（如客户数量、期望毛利）。</t>
  </si>
  <si>
    <t>黄色单元格含义</t>
  </si>
  <si>
    <t>【自动计算区】已预置外贸标准公式（VLOOKUP、阶梯判断），切勿随意修改公式。</t>
  </si>
  <si>
    <t>底层数学公式</t>
  </si>
  <si>
    <t>外贸精准美元单价 = [ (阶梯底价 + 选配加价) × (1 + 毛利率) + 港杂运费单件分摊 ] ÷ 汇率</t>
  </si>
  <si>
    <t>作者与版权说明</t>
  </si>
  <si>
    <t>由 KelvinFlow 自动化实验室精心打磨开源，禁止二次倒卖。</t>
  </si>
  <si>
    <t>【🚀 终极提效彩蛋】</t>
  </si>
  <si>
    <t>如果您每天收到多封询盘，厌倦了每次打开 Excel 手工核对输入...</t>
  </si>
  <si>
    <t>全自动 AI 核价中枢</t>
  </si>
  <si>
    <t>欢迎体验 KelvinFlow AI 引擎：海外买家英文邮件一到，AI 3分钟自动对齐底价生成专业 PDF！</t>
  </si>
  <si>
    <t>体验官网</t>
  </si>
  <si>
    <t>https://quote.kelvinflow.com （联系创始人微信可免费协助跑测一份复杂询盘）</t>
  </si>
  <si>
    <t>产品SKU</t>
  </si>
  <si>
    <t>品名及规格描述</t>
  </si>
  <si>
    <t>标准出厂底价(RMB)</t>
  </si>
  <si>
    <t>起订量(MOQ)</t>
  </si>
  <si>
    <t>阶梯2数量(Tier2)</t>
  </si>
  <si>
    <t>阶梯2特惠底价(RMB)</t>
  </si>
  <si>
    <t>阶梯3数量(Tier3)</t>
  </si>
  <si>
    <t>阶梯3整柜底价(RMB)</t>
  </si>
  <si>
    <t>每箱装量(PCS)</t>
  </si>
  <si>
    <t>每箱体积(CBM)</t>
  </si>
  <si>
    <t>每箱毛重(KG)</t>
  </si>
  <si>
    <t>ST-2026-A</t>
  </si>
  <si>
    <t>双屏重型人体工学显示器支架</t>
  </si>
  <si>
    <t>ST-2026-B</t>
  </si>
  <si>
    <t>单屏桌面机械臂高配版</t>
  </si>
  <si>
    <t>ERG-PRO-V2</t>
  </si>
  <si>
    <t>双电机电动智能升降桌架</t>
  </si>
  <si>
    <t>AL-BASE-99</t>
  </si>
  <si>
    <t>高强度压铸铝合金转盘底座</t>
  </si>
  <si>
    <t>HD-ARM-08</t>
  </si>
  <si>
    <t>加强型气弹簧阻尼升降臂</t>
  </si>
  <si>
    <t>选配编码</t>
  </si>
  <si>
    <t>工艺/选配名称</t>
  </si>
  <si>
    <t>加价金额(RMB/件)</t>
  </si>
  <si>
    <t>适用产品类别</t>
  </si>
  <si>
    <t>说明</t>
  </si>
  <si>
    <t>OPT-LOGO-01</t>
  </si>
  <si>
    <t>高精度激光打标 Logo</t>
  </si>
  <si>
    <t>全系列通用</t>
  </si>
  <si>
    <t>底座或外壳镭雕买家品牌标识</t>
  </si>
  <si>
    <t>OPT-COLOR-BOX</t>
  </si>
  <si>
    <t>5层特硬出口定制彩盒</t>
  </si>
  <si>
    <t>买家提供刀版图及印刷文件</t>
  </si>
  <si>
    <t>OPT-MATTE-BLK</t>
  </si>
  <si>
    <t>哑光黑静电粉末喷涂</t>
  </si>
  <si>
    <t>升降桌架 / 支架</t>
  </si>
  <si>
    <t>耐刮防指纹特种涂层</t>
  </si>
  <si>
    <t>OPT-GYRO-SEN</t>
  </si>
  <si>
    <t>六轴陀螺仪防撞感应器</t>
  </si>
  <si>
    <t>电动升降桌</t>
  </si>
  <si>
    <t>升降遇阻力即刻回弹安全模块</t>
  </si>
  <si>
    <t>OPT-ANODIZED</t>
  </si>
  <si>
    <t>阳极氧化深空灰表面处理</t>
  </si>
  <si>
    <t>铝合金底座</t>
  </si>
  <si>
    <t>高端质感抗氧化防腐蚀</t>
  </si>
  <si>
    <t>⚡ 外贸即时核价模拟出单台 (绿色填入，黄色自动秒出)</t>
  </si>
  <si>
    <t>产品型号 (SKU)</t>
  </si>
  <si>
    <t>从底价库中选择输入型号</t>
  </si>
  <si>
    <t>买家询盘采购数量 (PCS)</t>
  </si>
  <si>
    <t>输入本次询盘实际采购量</t>
  </si>
  <si>
    <t>目标销售毛利率 (Profit)</t>
  </si>
  <si>
    <t>建议设置 0.20 - 0.35 之间</t>
  </si>
  <si>
    <t>当前美元结算汇率 (USD/RMB)</t>
  </si>
  <si>
    <t>系统建议使用中行折算价</t>
  </si>
  <si>
    <t>工艺选配 1 加价 (RMB)</t>
  </si>
  <si>
    <t>例如激光刻标 (可填 0)</t>
  </si>
  <si>
    <t>工艺选配 2 加价 (RMB)</t>
  </si>
  <si>
    <t>例如定制彩盒 (可填 0)</t>
  </si>
  <si>
    <t>整单单件预估海运港杂 (RMB)</t>
  </si>
  <si>
    <t>FOB/CIF 港杂按体积平摊单件成本</t>
  </si>
  <si>
    <t>📊 自动核算核心结果 (公式已锁定联动)</t>
  </si>
  <si>
    <t>命中梯度底价 (RMB/件)</t>
  </si>
  <si>
    <t>自动根据数量命中阶梯优惠底价</t>
  </si>
  <si>
    <t>单件出厂含选配成本 (RMB)</t>
  </si>
  <si>
    <t>底价 + 所有选配工艺加价</t>
  </si>
  <si>
    <t>外贸精准 FOB 单价 (USD)</t>
  </si>
  <si>
    <t>【正式报价单使用的美金单价】</t>
  </si>
  <si>
    <t>本次订单总金额 (USD)</t>
  </si>
  <si>
    <t>总报价金额 = 单价 × 采购数量</t>
  </si>
  <si>
    <t>本次订单预计毛利 (RMB)</t>
  </si>
  <si>
    <t>扣除底价与杂费后的实际毛利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</si>
</sst>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¥#,##0.00"/>
    <numFmt numFmtId="166" formatCode="$#,##0.00"/>
    <numFmt numFmtId="167" formatCode="¥#,##0"/>
  </numFmts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微软雅黑"/>
    </font>
    <font>
      <b/>
      <color rgb="FF0F172A"/>
      <sz val="11"/>
      <name val="微软雅黑"/>
    </font>
    <font>
      <color rgb="FF334155"/>
      <sz val="11"/>
      <name val="微软雅黑"/>
    </font>
    <font>
      <b/>
      <color rgb="FFFFFFFF"/>
      <sz val="11"/>
      <name val="微软雅黑"/>
    </font>
    <font>
      <sz val="10"/>
      <name val="微软雅黑"/>
    </font>
    <font>
      <b/>
      <color rgb="FFFFFFFF"/>
      <sz val="14"/>
      <name val="微软雅黑"/>
    </font>
    <font>
      <b/>
      <color rgb="FF1E293B"/>
      <sz val="10"/>
      <name val="微软雅黑"/>
    </font>
    <font>
      <b/>
      <color rgb="FF065F46"/>
      <sz val="11"/>
      <name val="微软雅黑"/>
    </font>
    <font>
      <color rgb="FF64748B"/>
      <sz val="9"/>
      <name val="微软雅黑"/>
    </font>
    <font>
      <b/>
      <color rgb="FF92400E"/>
      <sz val="12"/>
      <name val="微软雅黑"/>
    </font>
    <font>
      <color rgb="FF78350F"/>
      <sz val="9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0D9488"/>
      </patternFill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D1FAE5"/>
      </patternFill>
    </fill>
    <fill>
      <patternFill patternType="solid">
        <fgColor rgb="FFD97706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/>
    <xf numFmtId="0" fontId="8" fillId="8" borderId="0" xfId="0" applyFont="1" applyFill="1" applyAlignment="1">
      <alignment horizontal="center"/>
    </xf>
    <xf numFmtId="0" fontId="9" fillId="0" borderId="0" xfId="0" applyFont="1"/>
    <xf numFmtId="164" fontId="8" fillId="8" borderId="0" xfId="0" applyNumberFormat="1" applyFont="1" applyFill="1" applyAlignment="1">
      <alignment horizontal="center"/>
    </xf>
    <xf numFmtId="2" fontId="8" fillId="8" borderId="0" xfId="0" applyNumberFormat="1" applyFont="1" applyFill="1" applyAlignment="1">
      <alignment horizontal="center"/>
    </xf>
    <xf numFmtId="0" fontId="4" fillId="9" borderId="0" xfId="0" applyFont="1" applyFill="1" applyAlignment="1">
      <alignment horizontal="center" vertical="center"/>
    </xf>
    <xf numFmtId="165" fontId="10" fillId="10" borderId="0" xfId="0" applyNumberFormat="1" applyFont="1" applyFill="1" applyAlignment="1">
      <alignment horizontal="center"/>
    </xf>
    <xf numFmtId="0" fontId="11" fillId="0" borderId="0" xfId="0" applyFont="1"/>
    <xf numFmtId="166" fontId="10" fillId="10" borderId="0" xfId="0" applyNumberFormat="1" applyFont="1" applyFill="1" applyAlignment="1">
      <alignment horizontal="center"/>
    </xf>
    <xf numFmtId="167" fontId="10" fillId="1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1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55" customWidth="1"/>
    <col min="4" max="4" width="25" customWidth="1"/>
  </cols>
  <sheetData>
    <row r="2" ht="40" customHeight="1" spans="2:3" x14ac:dyDescent="0.25">
      <c r="B2" s="1" t="s">
        <v>0</v>
      </c>
      <c r="C2" s="1"/>
    </row>
    <row r="4" ht="28" customHeight="1" spans="1:3" x14ac:dyDescent="0.25">
      <c r="A4" t="s">
        <v>1</v>
      </c>
      <c r="B4" s="2" t="s">
        <v>2</v>
      </c>
      <c r="C4" s="3" t="s">
        <v>3</v>
      </c>
    </row>
    <row r="5" ht="28" customHeight="1" spans="1:3" x14ac:dyDescent="0.25">
      <c r="A5" t="s">
        <v>1</v>
      </c>
      <c r="B5" s="2" t="s">
        <v>4</v>
      </c>
      <c r="C5" s="3" t="s">
        <v>5</v>
      </c>
    </row>
    <row r="6" ht="28" customHeight="1" spans="1:3" x14ac:dyDescent="0.25">
      <c r="A6" t="s">
        <v>1</v>
      </c>
      <c r="B6" s="2" t="s">
        <v>6</v>
      </c>
      <c r="C6" s="3" t="s">
        <v>7</v>
      </c>
    </row>
    <row r="7" ht="28" customHeight="1" spans="1:3" x14ac:dyDescent="0.25">
      <c r="A7" t="s">
        <v>1</v>
      </c>
      <c r="B7" s="2" t="s">
        <v>8</v>
      </c>
      <c r="C7" s="3" t="s">
        <v>9</v>
      </c>
    </row>
    <row r="8" ht="28" customHeight="1" spans="1:3" x14ac:dyDescent="0.25">
      <c r="A8" t="s">
        <v>1</v>
      </c>
      <c r="B8" s="2" t="s">
        <v>10</v>
      </c>
      <c r="C8" s="3" t="s">
        <v>11</v>
      </c>
    </row>
    <row r="9" ht="28" customHeight="1" spans="1:3" x14ac:dyDescent="0.25">
      <c r="A9" t="s">
        <v>1</v>
      </c>
      <c r="B9" s="2" t="s">
        <v>12</v>
      </c>
      <c r="C9" s="3" t="s">
        <v>13</v>
      </c>
    </row>
    <row r="10" ht="28" customHeight="1" spans="1:3" x14ac:dyDescent="0.25">
      <c r="A10" t="s">
        <v>1</v>
      </c>
      <c r="B10" s="2" t="s">
        <v>14</v>
      </c>
      <c r="C10" s="3" t="s">
        <v>15</v>
      </c>
    </row>
    <row r="11" ht="28" customHeight="1" spans="1:3" x14ac:dyDescent="0.25">
      <c r="A11" t="s">
        <v>1</v>
      </c>
      <c r="B11" s="2" t="s">
        <v>16</v>
      </c>
      <c r="C11" s="3" t="s">
        <v>17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 outlineLevelRow="0" outlineLevelCol="0" x14ac:dyDescent="55"/>
  <cols>
    <col min="1" max="1" width="16" customWidth="1"/>
    <col min="2" max="2" width="32" customWidth="1"/>
    <col min="3" max="3" width="18" customWidth="1"/>
    <col min="4" max="4" width="14" customWidth="1"/>
    <col min="5" max="5" width="16" customWidth="1"/>
    <col min="6" max="6" width="18" customWidth="1"/>
    <col min="7" max="7" width="16" customWidth="1"/>
    <col min="8" max="8" width="18" customWidth="1"/>
    <col min="9" max="11" width="14" customWidth="1"/>
  </cols>
  <sheetData>
    <row r="1" ht="30" customHeight="1" spans="1:11" s="4" customFormat="1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</row>
    <row r="2" ht="24" customHeight="1" spans="1:11" s="5" customFormat="1" x14ac:dyDescent="0.25">
      <c r="A2" s="5" t="s">
        <v>29</v>
      </c>
      <c r="B2" s="5" t="s">
        <v>30</v>
      </c>
      <c r="C2" s="5">
        <v>95</v>
      </c>
      <c r="D2" s="5">
        <v>100</v>
      </c>
      <c r="E2" s="5">
        <v>2000</v>
      </c>
      <c r="F2" s="5">
        <v>85</v>
      </c>
      <c r="G2" s="5">
        <v>5000</v>
      </c>
      <c r="H2" s="5">
        <v>78</v>
      </c>
      <c r="I2" s="5">
        <v>4</v>
      </c>
      <c r="J2" s="5">
        <v>0.045</v>
      </c>
      <c r="K2" s="5">
        <v>16.5</v>
      </c>
    </row>
    <row r="3" ht="24" customHeight="1" spans="1:11" s="5" customFormat="1" x14ac:dyDescent="0.25">
      <c r="A3" s="5" t="s">
        <v>31</v>
      </c>
      <c r="B3" s="5" t="s">
        <v>32</v>
      </c>
      <c r="C3" s="5">
        <v>65</v>
      </c>
      <c r="D3" s="5">
        <v>100</v>
      </c>
      <c r="E3" s="5">
        <v>1000</v>
      </c>
      <c r="F3" s="5">
        <v>58</v>
      </c>
      <c r="G3" s="5">
        <v>3000</v>
      </c>
      <c r="H3" s="5">
        <v>52</v>
      </c>
      <c r="I3" s="5">
        <v>6</v>
      </c>
      <c r="J3" s="5">
        <v>0.038</v>
      </c>
      <c r="K3" s="5">
        <v>12</v>
      </c>
    </row>
    <row r="4" ht="24" customHeight="1" spans="1:11" s="5" customFormat="1" x14ac:dyDescent="0.25">
      <c r="A4" s="5" t="s">
        <v>33</v>
      </c>
      <c r="B4" s="5" t="s">
        <v>34</v>
      </c>
      <c r="C4" s="5">
        <v>380</v>
      </c>
      <c r="D4" s="5">
        <v>50</v>
      </c>
      <c r="E4" s="5">
        <v>500</v>
      </c>
      <c r="F4" s="5">
        <v>350</v>
      </c>
      <c r="G4" s="5">
        <v>1000</v>
      </c>
      <c r="H4" s="5">
        <v>320</v>
      </c>
      <c r="I4" s="5">
        <v>1</v>
      </c>
      <c r="J4" s="5">
        <v>0.085</v>
      </c>
      <c r="K4" s="5">
        <v>28</v>
      </c>
    </row>
    <row r="5" ht="24" customHeight="1" spans="1:11" s="5" customFormat="1" x14ac:dyDescent="0.25">
      <c r="A5" s="5" t="s">
        <v>35</v>
      </c>
      <c r="B5" s="5" t="s">
        <v>36</v>
      </c>
      <c r="C5" s="5">
        <v>48</v>
      </c>
      <c r="D5" s="5">
        <v>200</v>
      </c>
      <c r="E5" s="5">
        <v>1000</v>
      </c>
      <c r="F5" s="5">
        <v>42</v>
      </c>
      <c r="G5" s="5">
        <v>5000</v>
      </c>
      <c r="H5" s="5">
        <v>38</v>
      </c>
      <c r="I5" s="5">
        <v>10</v>
      </c>
      <c r="J5" s="5">
        <v>0.025</v>
      </c>
      <c r="K5" s="5">
        <v>18</v>
      </c>
    </row>
    <row r="6" ht="24" customHeight="1" spans="1:11" s="5" customFormat="1" x14ac:dyDescent="0.25">
      <c r="A6" s="5" t="s">
        <v>37</v>
      </c>
      <c r="B6" s="5" t="s">
        <v>38</v>
      </c>
      <c r="C6" s="5">
        <v>52</v>
      </c>
      <c r="D6" s="5">
        <v>200</v>
      </c>
      <c r="E6" s="5">
        <v>1500</v>
      </c>
      <c r="F6" s="5">
        <v>46</v>
      </c>
      <c r="G6" s="5">
        <v>4000</v>
      </c>
      <c r="H6" s="5">
        <v>40</v>
      </c>
      <c r="I6" s="5">
        <v>8</v>
      </c>
      <c r="J6" s="5">
        <v>0.032</v>
      </c>
      <c r="K6" s="5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18" customWidth="1"/>
    <col min="4" max="4" width="22" customWidth="1"/>
    <col min="5" max="5" width="30" customWidth="1"/>
  </cols>
  <sheetData>
    <row r="1" ht="30" customHeight="1" spans="1:5" s="6" customFormat="1" x14ac:dyDescent="0.25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</row>
    <row r="2" ht="24" customHeight="1" spans="1:5" s="5" customFormat="1" x14ac:dyDescent="0.25">
      <c r="A2" s="5" t="s">
        <v>44</v>
      </c>
      <c r="B2" s="5" t="s">
        <v>45</v>
      </c>
      <c r="C2" s="5">
        <v>1.5</v>
      </c>
      <c r="D2" s="5" t="s">
        <v>46</v>
      </c>
      <c r="E2" s="5" t="s">
        <v>47</v>
      </c>
    </row>
    <row r="3" ht="24" customHeight="1" spans="1:5" s="5" customFormat="1" x14ac:dyDescent="0.25">
      <c r="A3" s="5" t="s">
        <v>48</v>
      </c>
      <c r="B3" s="5" t="s">
        <v>49</v>
      </c>
      <c r="C3" s="5">
        <v>2</v>
      </c>
      <c r="D3" s="5" t="s">
        <v>46</v>
      </c>
      <c r="E3" s="5" t="s">
        <v>50</v>
      </c>
    </row>
    <row r="4" ht="24" customHeight="1" spans="1:5" s="5" customFormat="1" x14ac:dyDescent="0.25">
      <c r="A4" s="5" t="s">
        <v>51</v>
      </c>
      <c r="B4" s="5" t="s">
        <v>52</v>
      </c>
      <c r="C4" s="5">
        <v>8</v>
      </c>
      <c r="D4" s="5" t="s">
        <v>53</v>
      </c>
      <c r="E4" s="5" t="s">
        <v>54</v>
      </c>
    </row>
    <row r="5" ht="24" customHeight="1" spans="1:5" s="5" customFormat="1" x14ac:dyDescent="0.25">
      <c r="A5" s="5" t="s">
        <v>55</v>
      </c>
      <c r="B5" s="5" t="s">
        <v>56</v>
      </c>
      <c r="C5" s="5">
        <v>20</v>
      </c>
      <c r="D5" s="5" t="s">
        <v>57</v>
      </c>
      <c r="E5" s="5" t="s">
        <v>58</v>
      </c>
    </row>
    <row r="6" ht="24" customHeight="1" spans="1:5" s="5" customFormat="1" x14ac:dyDescent="0.25">
      <c r="A6" s="5" t="s">
        <v>59</v>
      </c>
      <c r="B6" s="5" t="s">
        <v>60</v>
      </c>
      <c r="C6" s="5">
        <v>4</v>
      </c>
      <c r="D6" s="5" t="s">
        <v>61</v>
      </c>
      <c r="E6" s="5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8"/>
  <sheetViews>
    <sheetView workbookViewId="0"/>
  </sheetViews>
  <sheetFormatPr defaultRowHeight="15" outlineLevelRow="0" outlineLevelCol="0" x14ac:dyDescent="55"/>
  <cols>
    <col min="1" max="1" width="4" customWidth="1"/>
    <col min="2" max="2" width="24" customWidth="1"/>
    <col min="3" max="3" width="32" customWidth="1"/>
    <col min="4" max="4" width="30" customWidth="1"/>
  </cols>
  <sheetData>
    <row r="2" ht="36" customHeight="1" spans="2:4" x14ac:dyDescent="0.25">
      <c r="B2" s="7" t="s">
        <v>63</v>
      </c>
      <c r="C2" s="7"/>
      <c r="D2" s="7"/>
    </row>
    <row r="4" ht="26" customHeight="1" spans="2:4" x14ac:dyDescent="0.25">
      <c r="B4" s="8" t="s">
        <v>64</v>
      </c>
      <c r="C4" s="9" t="s">
        <v>29</v>
      </c>
      <c r="D4" s="10" t="s">
        <v>65</v>
      </c>
    </row>
    <row r="5" ht="26" customHeight="1" spans="2:4" x14ac:dyDescent="0.25">
      <c r="B5" s="8" t="s">
        <v>66</v>
      </c>
      <c r="C5" s="9">
        <v>2500</v>
      </c>
      <c r="D5" s="10" t="s">
        <v>67</v>
      </c>
    </row>
    <row r="6" ht="26" customHeight="1" spans="2:4" x14ac:dyDescent="0.25">
      <c r="B6" s="8" t="s">
        <v>68</v>
      </c>
      <c r="C6" s="11">
        <v>0.25</v>
      </c>
      <c r="D6" s="10" t="s">
        <v>69</v>
      </c>
    </row>
    <row r="7" ht="26" customHeight="1" spans="2:4" x14ac:dyDescent="0.25">
      <c r="B7" s="8" t="s">
        <v>70</v>
      </c>
      <c r="C7" s="12">
        <v>7.2</v>
      </c>
      <c r="D7" s="10" t="s">
        <v>71</v>
      </c>
    </row>
    <row r="8" ht="26" customHeight="1" spans="2:4" x14ac:dyDescent="0.25">
      <c r="B8" s="8" t="s">
        <v>72</v>
      </c>
      <c r="C8" s="9">
        <v>1.5</v>
      </c>
      <c r="D8" s="10" t="s">
        <v>73</v>
      </c>
    </row>
    <row r="9" ht="26" customHeight="1" spans="2:4" x14ac:dyDescent="0.25">
      <c r="B9" s="8" t="s">
        <v>74</v>
      </c>
      <c r="C9" s="9">
        <v>2</v>
      </c>
      <c r="D9" s="10" t="s">
        <v>75</v>
      </c>
    </row>
    <row r="10" ht="26" customHeight="1" spans="2:4" x14ac:dyDescent="0.25">
      <c r="B10" s="8" t="s">
        <v>76</v>
      </c>
      <c r="C10" s="9">
        <v>0.85</v>
      </c>
      <c r="D10" s="10" t="s">
        <v>77</v>
      </c>
    </row>
    <row r="12" ht="28" customHeight="1" spans="2:4" x14ac:dyDescent="0.25">
      <c r="B12" s="13" t="s">
        <v>78</v>
      </c>
      <c r="C12" s="13"/>
      <c r="D12" s="13"/>
    </row>
    <row r="14" ht="30" customHeight="1" spans="2:4" x14ac:dyDescent="0.25">
      <c r="B14" s="8" t="s">
        <v>79</v>
      </c>
      <c r="C14" s="14">
        <f>=IF(C5&gt;=VLOOKUP(C4,'1-商品底价与阶梯库'!A2:H10,7,FALSE), VLOOKUP(C4,'1-商品底价与阶梯库'!A2:H10,8,FALSE), IF(C5&gt;=VLOOKUP(C4,'1-商品底价与阶梯库'!A2:H10,5,FALSE), VLOOKUP(C4,'1-商品底价与阶梯库'!A2:H10,6,FALSE), VLOOKUP(C4,'1-商品底价与阶梯库'!A2:H10,3,FALSE)))</f>
      </c>
      <c r="D14" s="15" t="s">
        <v>80</v>
      </c>
    </row>
    <row r="15" ht="30" customHeight="1" spans="2:4" x14ac:dyDescent="0.25">
      <c r="B15" s="8" t="s">
        <v>81</v>
      </c>
      <c r="C15" s="14">
        <f>=C14+C8+C9</f>
      </c>
      <c r="D15" s="15" t="s">
        <v>82</v>
      </c>
    </row>
    <row r="16" ht="30" customHeight="1" spans="2:4" x14ac:dyDescent="0.25">
      <c r="B16" s="8" t="s">
        <v>83</v>
      </c>
      <c r="C16" s="16">
        <f>=ROUND(((C15 * (1 + C6)) + C10) / C7, 2)</f>
      </c>
      <c r="D16" s="15" t="s">
        <v>84</v>
      </c>
    </row>
    <row r="17" ht="30" customHeight="1" spans="2:4" x14ac:dyDescent="0.25">
      <c r="B17" s="8" t="s">
        <v>85</v>
      </c>
      <c r="C17" s="16">
        <f>=ROUND(C16 * C5, 2)</f>
      </c>
      <c r="D17" s="15" t="s">
        <v>86</v>
      </c>
    </row>
    <row r="18" ht="30" customHeight="1" spans="2:4" x14ac:dyDescent="0.25">
      <c r="B18" s="8" t="s">
        <v>87</v>
      </c>
      <c r="C18" s="17">
        <f>=ROUND((C16 * C7 - C15 - C10) * C5, 0)</f>
      </c>
      <c r="D18" s="15" t="s">
        <v>88</v>
      </c>
    </row>
  </sheetData>
  <mergeCells count="2">
    <mergeCell ref="B2:D2"/>
    <mergeCell ref="B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📌使用指南与提效神器</vt:lpstr>
      <vt:lpstr>1-商品底价与阶梯库</vt:lpstr>
      <vt:lpstr>2-选配工艺加价库</vt:lpstr>
      <vt:lpstr>3-外贸精准核价计算台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KelvinFlow 自动化实验室</dc:creator>
  <dc:title/>
  <dc:subject/>
  <dc:description/>
  <cp:keywords/>
  <cp:category/>
  <cp:lastModifiedBy>KelvinFlow</cp:lastModifiedBy>
  <dcterms:created xsi:type="dcterms:W3CDTF">2026-09-16T02:04:57Z</dcterms:created>
  <dcterms:modified xsi:type="dcterms:W3CDTF">2026-09-16T02:04:57Z</dcterms:modified>
</cp:coreProperties>
</file>