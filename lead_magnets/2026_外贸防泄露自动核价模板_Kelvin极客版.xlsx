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🔒 内部智能核价台(业务员专享)" state="visible" r:id="rId4"/>
    <sheet sheetId="2" name="📄 对外商业报价单(纯净导出)" state="visible" r:id="rId5"/>
  </sheets>
  <calcPr calcId="171027"/>
</workbook>
</file>

<file path=xl/sharedStrings.xml><?xml version="1.0" encoding="utf-8"?>
<sst xmlns="http://schemas.openxmlformats.org/spreadsheetml/2006/main" count="86" uniqueCount="71">
  <si>
    <t>⚡ 2026 外贸智能核价与防泄露控制台 · Kelvin 极客版</t>
  </si>
  <si>
    <t>【内部保密 · 业务员专享】本表内置动态公式与利润红线防御机制。本表所有成本底价与公式严禁直接发给买家！对外报价请直接复制下一页【对外商业报价单】。</t>
  </si>
  <si>
    <t>🌐 宏观汇率与港杂设定</t>
  </si>
  <si>
    <t>🛡️ 利润安全红线预警</t>
  </si>
  <si>
    <t>💡 技术老友 Kelvin 的独家防翻车提示</t>
  </si>
  <si>
    <t>实时基准汇率:</t>
  </si>
  <si>
    <t>安全核算汇率:</t>
  </si>
  <si>
    <t>最低毛利底线:</t>
  </si>
  <si>
    <t>单票港杂费基准(RMB):</t>
  </si>
  <si>
    <t>安全汇率已自动扣减 0.12 安全垫，锁定汇率波动风险；毛利低于 18% 状态栏自动警报！</t>
  </si>
  <si>
    <t>SKU / 产品型号</t>
  </si>
  <si>
    <t>产品英文描述</t>
  </si>
  <si>
    <t>工厂底价 (¥)</t>
  </si>
  <si>
    <t>选配工艺加价 (¥)</t>
  </si>
  <si>
    <t>外箱包装费 (¥)</t>
  </si>
  <si>
    <t>单箱装量(PCS)</t>
  </si>
  <si>
    <t>单件港杂分摊(¥)</t>
  </si>
  <si>
    <t>单件综合成本(¥)</t>
  </si>
  <si>
    <t>目标毛利率</t>
  </si>
  <si>
    <t>出厂人民币单价</t>
  </si>
  <si>
    <t>核算汇率</t>
  </si>
  <si>
    <t>FOB美元单价 ($)</t>
  </si>
  <si>
    <t>单件利润 ($)</t>
  </si>
  <si>
    <t>利润红线状态</t>
  </si>
  <si>
    <t>ST-2026-PRO</t>
  </si>
  <si>
    <t>Ergonomic Laptop Stand (Alu)</t>
  </si>
  <si>
    <t>ST-2026-LITE</t>
  </si>
  <si>
    <t>Foldable Metal Phone Holder</t>
  </si>
  <si>
    <t>ERG-ARM-V2</t>
  </si>
  <si>
    <t>Heavy Duty Dual Monitor Arm</t>
  </si>
  <si>
    <t>AL-BASE-99</t>
  </si>
  <si>
    <t>Die-cast Aluminum Base Mount</t>
  </si>
  <si>
    <t>HD-ARM-08</t>
  </si>
  <si>
    <t>Gas Spring Articulating Arm</t>
  </si>
  <si>
    <t>CUSTOM-SPEC-01</t>
  </si>
  <si>
    <t>OEM Matte Black Desk Converter</t>
  </si>
  <si>
    <t>📦 智能柜型装载与 CBM 体积自动速算器 (输入外箱尺寸，秒出 20GP / 40GP / 40HQ 柜量)</t>
  </si>
  <si>
    <t>SKU / 型号</t>
  </si>
  <si>
    <t>箱长 L (cm)</t>
  </si>
  <si>
    <t>箱宽 W (cm)</t>
  </si>
  <si>
    <t>箱高 H (cm)</t>
  </si>
  <si>
    <t>单箱体积 (CBM)</t>
  </si>
  <si>
    <t>单箱毛重 (KG)</t>
  </si>
  <si>
    <t>每箱装量</t>
  </si>
  <si>
    <t>20GP装箱数(28m³)</t>
  </si>
  <si>
    <t>20GP总件数(PCS)</t>
  </si>
  <si>
    <t>40GP装箱数(58m³)</t>
  </si>
  <si>
    <t>40GP总件数(PCS)</t>
  </si>
  <si>
    <t>40HQ装箱数(68m³)</t>
  </si>
  <si>
    <t>40HQ总件数(PCS)</t>
  </si>
  <si>
    <t>装柜空间利用评估</t>
  </si>
  <si>
    <t>🟢 满柜出货推荐</t>
  </si>
  <si>
    <t xml:space="preserve">💡 技术老友 Kelvin 的心里话：
亲爱的外贸朋友，如果你还在每天手动算几十个复杂 SKU、或者买家总发长篇英文邮件询价让你头大，试试我为你写好的免费 AI 自动审单引擎 KelvinFlow (https://kelvinflow.com)。复制邮件 10 秒全自动拆解 SKU、匹配底价并生成纯英文正式 PDF 报价单！小红书群友可在官方交流群内随时提需求，我来为你免审开通体验！欢迎在官方粉丝群内交流反馈</t>
  </si>
  <si>
    <t>GLOBAL EXPORT FORMAL QUOTATION</t>
  </si>
  <si>
    <t>Commercial Offer &amp; Export Terms · Valid for 15 Days from Issue Date</t>
  </si>
  <si>
    <t>Supplier: ACME Hardware &amp; Ergonomics Co., Ltd.</t>
  </si>
  <si>
    <t>Quote Ref: QT-2026-EXP-3096</t>
  </si>
  <si>
    <t>Port of Loading: Shenzhen / Guangzhou Port, China</t>
  </si>
  <si>
    <t>Trade Term: FOB Shenzhen (Incoterms 2020)</t>
  </si>
  <si>
    <t>Currency: United States Dollar (USD)</t>
  </si>
  <si>
    <t>Payment Term: 30% T/T Deposit, 70% Balance Before Shipment</t>
  </si>
  <si>
    <t>Item</t>
  </si>
  <si>
    <t>Model No.</t>
  </si>
  <si>
    <t>Description &amp; Detailed Specs</t>
  </si>
  <si>
    <t>Unit</t>
  </si>
  <si>
    <t>MOQ</t>
  </si>
  <si>
    <t>FOB Price (USD)</t>
  </si>
  <si>
    <t>Lead Time</t>
  </si>
  <si>
    <t>PCS</t>
  </si>
  <si>
    <t>15-20 Days</t>
  </si>
  <si>
    <t xml:space="preserve">Remarks &amp; Standard Terms:
1. Quotation based on full carton packing. Customized packaging and branding available upon request.
2. Prices are valid for 15 days due to raw material and international currency fluctuations.
3. Inspection: Standard AQL Level II (Major 1.5, Minor 4.0) before container loading.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</si>
</sst>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¥#,##0"/>
    <numFmt numFmtId="166" formatCode="¥#,##0.00"/>
    <numFmt numFmtId="167" formatCode="$#,##0.00"/>
    <numFmt numFmtId="168" formatCode="0.0000"/>
  </numFmts>
  <fonts count="32" x14ac:knownFonts="1">
    <font>
      <color theme="1"/>
      <family val="2"/>
      <scheme val="minor"/>
      <sz val="11"/>
      <name val="Calibri"/>
    </font>
    <font>
      <b/>
      <color rgb="FFFFFFFF"/>
      <sz val="14"/>
      <name val="微软雅黑"/>
    </font>
    <font>
      <i/>
      <color rgb="FF94A3B8"/>
      <sz val="9"/>
      <name val="微软雅黑"/>
    </font>
    <font>
      <b/>
      <color rgb="FF1E293B"/>
      <sz val="10"/>
      <name val="微软雅黑"/>
    </font>
    <font>
      <b/>
      <color rgb="FF1E3A8A"/>
      <sz val="10"/>
      <name val="微软雅黑"/>
    </font>
    <font>
      <sz val="9"/>
      <name val="微软雅黑"/>
    </font>
    <font>
      <b/>
      <color rgb="FF2563EB"/>
      <sz val="10"/>
      <name val="Arial"/>
    </font>
    <font>
      <b/>
      <color rgb="FF059669"/>
      <sz val="10"/>
      <name val="Arial"/>
    </font>
    <font>
      <b/>
      <color rgb="FFDC2626"/>
      <sz val="10"/>
      <name val="Arial"/>
    </font>
    <font>
      <sz val="8"/>
      <name val="微软雅黑"/>
    </font>
    <font>
      <b/>
      <sz val="9"/>
      <name val="Arial"/>
    </font>
    <font>
      <color rgb="FF1E40AF"/>
      <sz val="9"/>
      <name val="微软雅黑"/>
    </font>
    <font>
      <b/>
      <color rgb="FFFFFFFF"/>
      <sz val="9"/>
      <name val="微软雅黑"/>
    </font>
    <font>
      <b/>
      <sz val="9"/>
      <name val="Consolas"/>
    </font>
    <font>
      <b/>
    </font>
    <font>
      <b/>
      <color rgb="FF059669"/>
    </font>
    <font>
      <b/>
      <color rgb="FF1D4ED8"/>
      <sz val="10"/>
      <name val="Arial"/>
    </font>
    <font>
      <color rgb="FF059669"/>
      <sz val="9"/>
      <name val="Arial"/>
    </font>
    <font>
      <b/>
      <sz val="9"/>
      <name val="微软雅黑"/>
    </font>
    <font>
      <b/>
      <color rgb="FFDC2626"/>
    </font>
    <font>
      <b/>
      <color rgb="FFFFFFFF"/>
      <sz val="10"/>
      <name val="微软雅黑"/>
    </font>
    <font>
      <b/>
      <color rgb="FF1E293B"/>
      <sz val="8"/>
      <name val="微软雅黑"/>
    </font>
    <font>
      <b/>
      <color rgb="FF1D4ED8"/>
      <name val="Arial"/>
    </font>
    <font>
      <b/>
      <color rgb="FF059669"/>
      <name val="Arial"/>
    </font>
    <font>
      <b/>
      <color rgb="FF1E293B"/>
      <sz val="9"/>
      <name val="微软雅黑"/>
    </font>
    <font>
      <b/>
      <color rgb="FF1E293B"/>
      <sz val="16"/>
      <name val="Arial"/>
    </font>
    <font>
      <i/>
      <color rgb="FF64748B"/>
      <sz val="9"/>
      <name val="Arial"/>
    </font>
    <font>
      <b/>
      <color rgb="FF2563EB"/>
      <sz val="9"/>
      <name val="Arial"/>
    </font>
    <font>
      <color rgb="FF475569"/>
      <sz val="9"/>
      <name val="Arial"/>
    </font>
    <font>
      <b/>
      <color rgb="FFFFFFFF"/>
      <sz val="9"/>
      <name val="Arial"/>
    </font>
    <font>
      <sz val="9"/>
      <name val="Arial"/>
    </font>
    <font>
      <color rgb="FF64748B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5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6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166" fontId="14" fillId="0" borderId="2" xfId="0" applyNumberFormat="1" applyFont="1" applyBorder="1" applyAlignment="1">
      <alignment horizontal="right" vertical="center"/>
    </xf>
    <xf numFmtId="164" fontId="15" fillId="0" borderId="2" xfId="0" applyNumberFormat="1" applyFon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167" fontId="16" fillId="0" borderId="2" xfId="0" applyNumberFormat="1" applyFont="1" applyBorder="1" applyAlignment="1">
      <alignment horizontal="right" vertical="center"/>
    </xf>
    <xf numFmtId="167" fontId="17" fillId="0" borderId="2" xfId="0" applyNumberFormat="1" applyFont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6" fontId="0" fillId="6" borderId="2" xfId="0" applyNumberFormat="1" applyFill="1" applyBorder="1" applyAlignment="1">
      <alignment horizontal="right" vertical="center"/>
    </xf>
    <xf numFmtId="3" fontId="0" fillId="6" borderId="2" xfId="0" applyNumberFormat="1" applyFill="1" applyBorder="1" applyAlignment="1">
      <alignment horizontal="right" vertical="center"/>
    </xf>
    <xf numFmtId="166" fontId="14" fillId="6" borderId="2" xfId="0" applyNumberFormat="1" applyFont="1" applyFill="1" applyBorder="1" applyAlignment="1">
      <alignment horizontal="right" vertical="center"/>
    </xf>
    <xf numFmtId="164" fontId="15" fillId="6" borderId="2" xfId="0" applyNumberFormat="1" applyFont="1" applyFill="1" applyBorder="1" applyAlignment="1">
      <alignment horizontal="right" vertical="center"/>
    </xf>
    <xf numFmtId="2" fontId="0" fillId="6" borderId="2" xfId="0" applyNumberFormat="1" applyFill="1" applyBorder="1" applyAlignment="1">
      <alignment horizontal="right" vertical="center"/>
    </xf>
    <xf numFmtId="167" fontId="16" fillId="6" borderId="2" xfId="0" applyNumberFormat="1" applyFont="1" applyFill="1" applyBorder="1" applyAlignment="1">
      <alignment horizontal="right" vertical="center"/>
    </xf>
    <xf numFmtId="167" fontId="17" fillId="6" borderId="2" xfId="0" applyNumberFormat="1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center" vertical="center"/>
    </xf>
    <xf numFmtId="164" fontId="19" fillId="6" borderId="2" xfId="0" applyNumberFormat="1" applyFont="1" applyFill="1" applyBorder="1" applyAlignment="1">
      <alignment horizontal="right" vertical="center"/>
    </xf>
    <xf numFmtId="0" fontId="20" fillId="7" borderId="0" xfId="0" applyFont="1" applyFill="1" applyAlignment="1">
      <alignment horizontal="left" vertical="center" indent="1"/>
    </xf>
    <xf numFmtId="0" fontId="21" fillId="4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22" fillId="0" borderId="2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0" fontId="24" fillId="8" borderId="0" xfId="0" applyFont="1" applyFill="1" applyAlignment="1">
      <alignment horizontal="left" vertical="center" wrapText="1" inden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0" fillId="0" borderId="0" xfId="0" applyFont="1"/>
    <xf numFmtId="0" fontId="27" fillId="0" borderId="0" xfId="0" applyFont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0" fontId="29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left" vertical="center" indent="1"/>
    </xf>
    <xf numFmtId="3" fontId="0" fillId="0" borderId="2" xfId="0" applyNumberForma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left" vertical="center" indent="1"/>
    </xf>
    <xf numFmtId="3" fontId="0" fillId="6" borderId="2" xfId="0" applyNumberFormat="1" applyFill="1" applyBorder="1" applyAlignment="1">
      <alignment horizontal="center" vertical="center"/>
    </xf>
    <xf numFmtId="0" fontId="3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5"/>
  <sheetViews>
    <sheetView workbookViewId="0"/>
  </sheetViews>
  <sheetFormatPr defaultRowHeight="15" outlineLevelRow="0" outlineLevelCol="0" x14ac:dyDescent="55"/>
  <cols>
    <col min="1" max="1" width="4" customWidth="1"/>
    <col min="2" max="2" width="14" customWidth="1"/>
    <col min="3" max="3" width="22" customWidth="1"/>
    <col min="4" max="6" width="12" customWidth="1"/>
    <col min="7" max="7" width="10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3" width="16" customWidth="1"/>
    <col min="14" max="15" width="14" customWidth="1"/>
    <col min="16" max="16" width="4" customWidth="1"/>
  </cols>
  <sheetData>
    <row r="2" ht="36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4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22" customHeight="1" spans="2:15" x14ac:dyDescent="0.25">
      <c r="B5" s="3" t="s">
        <v>2</v>
      </c>
      <c r="C5" s="3"/>
      <c r="D5" s="3"/>
      <c r="F5" s="3" t="s">
        <v>3</v>
      </c>
      <c r="G5" s="3"/>
      <c r="H5" s="3"/>
      <c r="J5" s="4" t="s">
        <v>4</v>
      </c>
      <c r="K5" s="4"/>
      <c r="L5" s="4"/>
      <c r="M5" s="4"/>
      <c r="N5" s="4"/>
      <c r="O5" s="4"/>
    </row>
    <row r="6" ht="24" customHeight="1" spans="2:15" x14ac:dyDescent="0.25">
      <c r="B6" s="5" t="s">
        <v>5</v>
      </c>
      <c r="C6" s="6">
        <v>7.2</v>
      </c>
      <c r="D6" s="5" t="s">
        <v>6</v>
      </c>
      <c r="E6" s="7">
        <f>C6-0.12</f>
      </c>
      <c r="F6" s="5" t="s">
        <v>7</v>
      </c>
      <c r="G6" s="8">
        <v>0.18</v>
      </c>
      <c r="H6" s="9" t="s">
        <v>8</v>
      </c>
      <c r="I6" s="10">
        <v>1800</v>
      </c>
      <c r="J6" s="11" t="s">
        <v>9</v>
      </c>
      <c r="K6" s="11"/>
      <c r="L6" s="11"/>
      <c r="M6" s="11"/>
      <c r="N6" s="11"/>
      <c r="O6" s="11"/>
    </row>
    <row r="8" ht="28" customHeight="1" spans="2:15" x14ac:dyDescent="0.25">
      <c r="B8" s="12" t="s">
        <v>10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12" t="s">
        <v>22</v>
      </c>
      <c r="O8" s="12" t="s">
        <v>23</v>
      </c>
    </row>
    <row r="9" ht="24" customHeight="1" spans="2:15" x14ac:dyDescent="0.25">
      <c r="B9" s="13" t="s">
        <v>24</v>
      </c>
      <c r="C9" s="14" t="s">
        <v>25</v>
      </c>
      <c r="D9" s="15">
        <v>45</v>
      </c>
      <c r="E9" s="15">
        <v>3.5</v>
      </c>
      <c r="F9" s="15">
        <v>8</v>
      </c>
      <c r="G9" s="16">
        <v>10</v>
      </c>
      <c r="H9" s="15">
        <v>1.2</v>
      </c>
      <c r="I9" s="17">
        <f>D9+E9+(F9/G9)+H9</f>
      </c>
      <c r="J9" s="18">
        <v>0.28</v>
      </c>
      <c r="K9" s="15">
        <f>I9/(1-J9)</f>
      </c>
      <c r="L9" s="19">
        <f>$E$6</f>
      </c>
      <c r="M9" s="20">
        <f>ROUND(K9/L9, 2)</f>
      </c>
      <c r="N9" s="21">
        <f>ROUND((K9-I9)/L9, 2)</f>
      </c>
      <c r="O9" s="22">
        <f>IF(J9&lt;$G$6, "🚨 警报:低于红线", IF(J9&gt;=0.25, "✅ 健康高毛利", "⚠️ 勉强保本"))</f>
      </c>
    </row>
    <row r="10" ht="24" customHeight="1" spans="2:15" x14ac:dyDescent="0.25">
      <c r="B10" s="23" t="s">
        <v>26</v>
      </c>
      <c r="C10" s="24" t="s">
        <v>27</v>
      </c>
      <c r="D10" s="25">
        <v>16.5</v>
      </c>
      <c r="E10" s="25">
        <v>1</v>
      </c>
      <c r="F10" s="25">
        <v>4.5</v>
      </c>
      <c r="G10" s="26">
        <v>20</v>
      </c>
      <c r="H10" s="25">
        <v>0.6</v>
      </c>
      <c r="I10" s="27">
        <f>D10+E10+(F10/G10)+H10</f>
      </c>
      <c r="J10" s="28">
        <v>0.25</v>
      </c>
      <c r="K10" s="25">
        <f>I10/(1-J10)</f>
      </c>
      <c r="L10" s="29">
        <f>$E$6</f>
      </c>
      <c r="M10" s="30">
        <f>ROUND(K10/L10, 2)</f>
      </c>
      <c r="N10" s="31">
        <f>ROUND((K10-I10)/L10, 2)</f>
      </c>
      <c r="O10" s="32">
        <f>IF(J10&lt;$G$6, "🚨 警报:低于红线", IF(J10&gt;=0.25, "✅ 健康高毛利", "⚠️ 勉强保本"))</f>
      </c>
    </row>
    <row r="11" ht="24" customHeight="1" spans="2:15" x14ac:dyDescent="0.25">
      <c r="B11" s="13" t="s">
        <v>28</v>
      </c>
      <c r="C11" s="14" t="s">
        <v>29</v>
      </c>
      <c r="D11" s="15">
        <v>125</v>
      </c>
      <c r="E11" s="15">
        <v>8</v>
      </c>
      <c r="F11" s="15">
        <v>18</v>
      </c>
      <c r="G11" s="16">
        <v>2</v>
      </c>
      <c r="H11" s="15">
        <v>3.5</v>
      </c>
      <c r="I11" s="17">
        <f>D11+E11+(F11/G11)+H11</f>
      </c>
      <c r="J11" s="18">
        <v>0.32</v>
      </c>
      <c r="K11" s="15">
        <f>I11/(1-J11)</f>
      </c>
      <c r="L11" s="19">
        <f>$E$6</f>
      </c>
      <c r="M11" s="20">
        <f>ROUND(K11/L11, 2)</f>
      </c>
      <c r="N11" s="21">
        <f>ROUND((K11-I11)/L11, 2)</f>
      </c>
      <c r="O11" s="22">
        <f>IF(J11&lt;$G$6, "🚨 警报:低于红线", IF(J11&gt;=0.25, "✅ 健康高毛利", "⚠️ 勉强保本"))</f>
      </c>
    </row>
    <row r="12" ht="24" customHeight="1" spans="2:15" x14ac:dyDescent="0.25">
      <c r="B12" s="23" t="s">
        <v>30</v>
      </c>
      <c r="C12" s="24" t="s">
        <v>31</v>
      </c>
      <c r="D12" s="25">
        <v>38</v>
      </c>
      <c r="E12" s="25">
        <v>2</v>
      </c>
      <c r="F12" s="25">
        <v>6</v>
      </c>
      <c r="G12" s="26">
        <v>8</v>
      </c>
      <c r="H12" s="25">
        <v>1</v>
      </c>
      <c r="I12" s="27">
        <f>D12+E12+(F12/G12)+H12</f>
      </c>
      <c r="J12" s="33">
        <v>0.15</v>
      </c>
      <c r="K12" s="25">
        <f>I12/(1-J12)</f>
      </c>
      <c r="L12" s="29">
        <f>$E$6</f>
      </c>
      <c r="M12" s="30">
        <f>ROUND(K12/L12, 2)</f>
      </c>
      <c r="N12" s="31">
        <f>ROUND((K12-I12)/L12, 2)</f>
      </c>
      <c r="O12" s="32">
        <f>IF(J12&lt;$G$6, "🚨 警报:低于红线", IF(J12&gt;=0.25, "✅ 健康高毛利", "⚠️ 勉强保本"))</f>
      </c>
    </row>
    <row r="13" ht="24" customHeight="1" spans="2:15" x14ac:dyDescent="0.25">
      <c r="B13" s="13" t="s">
        <v>32</v>
      </c>
      <c r="C13" s="14" t="s">
        <v>33</v>
      </c>
      <c r="D13" s="15">
        <v>82</v>
      </c>
      <c r="E13" s="15">
        <v>5</v>
      </c>
      <c r="F13" s="15">
        <v>12</v>
      </c>
      <c r="G13" s="16">
        <v>4</v>
      </c>
      <c r="H13" s="15">
        <v>2.2</v>
      </c>
      <c r="I13" s="17">
        <f>D13+E13+(F13/G13)+H13</f>
      </c>
      <c r="J13" s="18">
        <v>0.22</v>
      </c>
      <c r="K13" s="15">
        <f>I13/(1-J13)</f>
      </c>
      <c r="L13" s="19">
        <f>$E$6</f>
      </c>
      <c r="M13" s="20">
        <f>ROUND(K13/L13, 2)</f>
      </c>
      <c r="N13" s="21">
        <f>ROUND((K13-I13)/L13, 2)</f>
      </c>
      <c r="O13" s="22">
        <f>IF(J13&lt;$G$6, "🚨 警报:低于红线", IF(J13&gt;=0.25, "✅ 健康高毛利", "⚠️ 勉强保本"))</f>
      </c>
    </row>
    <row r="14" ht="24" customHeight="1" spans="2:15" x14ac:dyDescent="0.25">
      <c r="B14" s="23" t="s">
        <v>34</v>
      </c>
      <c r="C14" s="24" t="s">
        <v>35</v>
      </c>
      <c r="D14" s="25">
        <v>210</v>
      </c>
      <c r="E14" s="25">
        <v>15</v>
      </c>
      <c r="F14" s="25">
        <v>35</v>
      </c>
      <c r="G14" s="26">
        <v>1</v>
      </c>
      <c r="H14" s="25">
        <v>8</v>
      </c>
      <c r="I14" s="27">
        <f>D14+E14+(F14/G14)+H14</f>
      </c>
      <c r="J14" s="33">
        <v>0.12</v>
      </c>
      <c r="K14" s="25">
        <f>I14/(1-J14)</f>
      </c>
      <c r="L14" s="29">
        <f>$E$6</f>
      </c>
      <c r="M14" s="30">
        <f>ROUND(K14/L14, 2)</f>
      </c>
      <c r="N14" s="31">
        <f>ROUND((K14-I14)/L14, 2)</f>
      </c>
      <c r="O14" s="32">
        <f>IF(J14&lt;$G$6, "🚨 警报:低于红线", IF(J14&gt;=0.25, "✅ 健康高毛利", "⚠️ 勉强保本"))</f>
      </c>
    </row>
    <row r="16" ht="26" customHeight="1" spans="2:15" x14ac:dyDescent="0.25">
      <c r="B16" s="34" t="s">
        <v>36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ht="24" customHeight="1" spans="2:15" x14ac:dyDescent="0.25">
      <c r="B17" s="35" t="s">
        <v>37</v>
      </c>
      <c r="C17" s="35" t="s">
        <v>38</v>
      </c>
      <c r="D17" s="35" t="s">
        <v>39</v>
      </c>
      <c r="E17" s="35" t="s">
        <v>40</v>
      </c>
      <c r="F17" s="35" t="s">
        <v>41</v>
      </c>
      <c r="G17" s="35" t="s">
        <v>42</v>
      </c>
      <c r="H17" s="35" t="s">
        <v>43</v>
      </c>
      <c r="I17" s="35" t="s">
        <v>44</v>
      </c>
      <c r="J17" s="35" t="s">
        <v>45</v>
      </c>
      <c r="K17" s="35" t="s">
        <v>46</v>
      </c>
      <c r="L17" s="35" t="s">
        <v>47</v>
      </c>
      <c r="M17" s="35" t="s">
        <v>48</v>
      </c>
      <c r="N17" s="35" t="s">
        <v>49</v>
      </c>
      <c r="O17" s="35" t="s">
        <v>50</v>
      </c>
    </row>
    <row r="18" ht="22" customHeight="1" spans="2:15" x14ac:dyDescent="0.25">
      <c r="B18" s="36" t="s">
        <v>24</v>
      </c>
      <c r="C18" s="36">
        <v>45</v>
      </c>
      <c r="D18" s="36">
        <v>32</v>
      </c>
      <c r="E18" s="36">
        <v>28</v>
      </c>
      <c r="F18" s="37">
        <f>ROUND(C18*D18*E18/1000000, 4)</f>
      </c>
      <c r="G18" s="36">
        <v>12.5</v>
      </c>
      <c r="H18" s="36">
        <v>10</v>
      </c>
      <c r="I18" s="38">
        <f>INT(28/F18)</f>
      </c>
      <c r="J18" s="39">
        <f>I18*H18</f>
      </c>
      <c r="K18" s="38">
        <f>INT(58/F18)</f>
      </c>
      <c r="L18" s="38">
        <f>K18*H18</f>
      </c>
      <c r="M18" s="38">
        <f>INT(68/F18)</f>
      </c>
      <c r="N18" s="40">
        <f>M18*H18</f>
      </c>
      <c r="O18" s="36" t="s">
        <v>51</v>
      </c>
    </row>
    <row r="19" ht="22" customHeight="1" spans="2:15" x14ac:dyDescent="0.25">
      <c r="B19" s="36" t="s">
        <v>26</v>
      </c>
      <c r="C19" s="36">
        <v>30</v>
      </c>
      <c r="D19" s="36">
        <v>25</v>
      </c>
      <c r="E19" s="36">
        <v>20</v>
      </c>
      <c r="F19" s="37">
        <f>ROUND(C19*D19*E19/1000000, 4)</f>
      </c>
      <c r="G19" s="36">
        <v>8</v>
      </c>
      <c r="H19" s="36">
        <v>20</v>
      </c>
      <c r="I19" s="38">
        <f>INT(28/F19)</f>
      </c>
      <c r="J19" s="39">
        <f>I19*H19</f>
      </c>
      <c r="K19" s="38">
        <f>INT(58/F19)</f>
      </c>
      <c r="L19" s="38">
        <f>K19*H19</f>
      </c>
      <c r="M19" s="38">
        <f>INT(68/F19)</f>
      </c>
      <c r="N19" s="40">
        <f>M19*H19</f>
      </c>
      <c r="O19" s="36" t="s">
        <v>51</v>
      </c>
    </row>
    <row r="20" ht="22" customHeight="1" spans="2:15" x14ac:dyDescent="0.25">
      <c r="B20" s="36" t="s">
        <v>28</v>
      </c>
      <c r="C20" s="36">
        <v>65</v>
      </c>
      <c r="D20" s="36">
        <v>42</v>
      </c>
      <c r="E20" s="36">
        <v>35</v>
      </c>
      <c r="F20" s="37">
        <f>ROUND(C20*D20*E20/1000000, 4)</f>
      </c>
      <c r="G20" s="36">
        <v>18.2</v>
      </c>
      <c r="H20" s="36">
        <v>2</v>
      </c>
      <c r="I20" s="38">
        <f>INT(28/F20)</f>
      </c>
      <c r="J20" s="39">
        <f>I20*H20</f>
      </c>
      <c r="K20" s="38">
        <f>INT(58/F20)</f>
      </c>
      <c r="L20" s="38">
        <f>K20*H20</f>
      </c>
      <c r="M20" s="38">
        <f>INT(68/F20)</f>
      </c>
      <c r="N20" s="40">
        <f>M20*H20</f>
      </c>
      <c r="O20" s="36" t="s">
        <v>51</v>
      </c>
    </row>
    <row r="24" ht="26" customHeight="1" spans="2:15" x14ac:dyDescent="0.25">
      <c r="B24" s="41" t="s">
        <v>52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ht="26" customHeight="1" spans="2:15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</sheetData>
  <mergeCells count="8">
    <mergeCell ref="B2:O2"/>
    <mergeCell ref="B3:O3"/>
    <mergeCell ref="B5:D5"/>
    <mergeCell ref="F5:H5"/>
    <mergeCell ref="J5:O5"/>
    <mergeCell ref="J6:O6"/>
    <mergeCell ref="B16:O16"/>
    <mergeCell ref="B24:O2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8" customWidth="1"/>
    <col min="3" max="3" width="18" customWidth="1"/>
    <col min="4" max="4" width="34" customWidth="1"/>
    <col min="5" max="6" width="12" customWidth="1"/>
    <col min="7" max="8" width="16" customWidth="1"/>
    <col min="9" max="9" width="4" customWidth="1"/>
  </cols>
  <sheetData>
    <row r="2" ht="36" customHeight="1" spans="2:8" x14ac:dyDescent="0.25">
      <c r="B2" s="42" t="s">
        <v>53</v>
      </c>
      <c r="C2" s="42"/>
      <c r="D2" s="42"/>
      <c r="E2" s="42"/>
      <c r="F2" s="42"/>
      <c r="G2" s="42"/>
      <c r="H2" s="42"/>
    </row>
    <row r="3" ht="18" customHeight="1" spans="2:8" x14ac:dyDescent="0.25">
      <c r="B3" s="43" t="s">
        <v>54</v>
      </c>
      <c r="C3" s="43"/>
      <c r="D3" s="43"/>
      <c r="E3" s="43"/>
      <c r="F3" s="43"/>
      <c r="G3" s="43"/>
      <c r="H3" s="43"/>
    </row>
    <row r="5" spans="2:8" x14ac:dyDescent="0.25">
      <c r="B5" s="44" t="s">
        <v>55</v>
      </c>
      <c r="C5" s="44"/>
      <c r="D5" s="44"/>
      <c r="F5" s="45" t="s">
        <v>56</v>
      </c>
      <c r="G5" s="45"/>
      <c r="H5" s="45"/>
    </row>
    <row r="6" spans="2:8" x14ac:dyDescent="0.25">
      <c r="B6" s="46" t="s">
        <v>57</v>
      </c>
      <c r="C6" s="46"/>
      <c r="D6" s="46"/>
      <c r="F6" s="47" t="s">
        <v>58</v>
      </c>
      <c r="G6" s="47"/>
      <c r="H6" s="47"/>
    </row>
    <row r="7" spans="2:8" x14ac:dyDescent="0.25">
      <c r="B7" s="46" t="s">
        <v>59</v>
      </c>
      <c r="C7" s="46"/>
      <c r="D7" s="46"/>
      <c r="F7" s="47" t="s">
        <v>60</v>
      </c>
      <c r="G7" s="47"/>
      <c r="H7" s="47"/>
    </row>
    <row r="9" ht="26" customHeight="1" spans="2:8" x14ac:dyDescent="0.25">
      <c r="B9" s="48" t="s">
        <v>61</v>
      </c>
      <c r="C9" s="48" t="s">
        <v>62</v>
      </c>
      <c r="D9" s="48" t="s">
        <v>63</v>
      </c>
      <c r="E9" s="48" t="s">
        <v>64</v>
      </c>
      <c r="F9" s="48" t="s">
        <v>65</v>
      </c>
      <c r="G9" s="48" t="s">
        <v>66</v>
      </c>
      <c r="H9" s="48" t="s">
        <v>67</v>
      </c>
    </row>
    <row r="10" ht="24" customHeight="1" spans="2:8" x14ac:dyDescent="0.25">
      <c r="B10" s="49">
        <v>1</v>
      </c>
      <c r="C10" s="50">
        <f>'🔒 内部智能核价台(业务员专享)'!B9</f>
      </c>
      <c r="D10" s="51">
        <f>'🔒 内部智能核价台(业务员专享)'!C9</f>
      </c>
      <c r="E10" s="49" t="s">
        <v>68</v>
      </c>
      <c r="F10" s="52">
        <v>500</v>
      </c>
      <c r="G10" s="20">
        <f>'🔒 内部智能核价台(业务员专享)'!M9</f>
      </c>
      <c r="H10" s="49" t="s">
        <v>69</v>
      </c>
    </row>
    <row r="11" ht="24" customHeight="1" spans="2:8" x14ac:dyDescent="0.25">
      <c r="B11" s="53">
        <v>2</v>
      </c>
      <c r="C11" s="54">
        <f>'🔒 内部智能核价台(业务员专享)'!B10</f>
      </c>
      <c r="D11" s="55">
        <f>'🔒 内部智能核价台(业务员专享)'!C10</f>
      </c>
      <c r="E11" s="53" t="s">
        <v>68</v>
      </c>
      <c r="F11" s="56">
        <v>500</v>
      </c>
      <c r="G11" s="30">
        <f>'🔒 内部智能核价台(业务员专享)'!M10</f>
      </c>
      <c r="H11" s="53" t="s">
        <v>69</v>
      </c>
    </row>
    <row r="12" ht="24" customHeight="1" spans="2:8" x14ac:dyDescent="0.25">
      <c r="B12" s="49">
        <v>3</v>
      </c>
      <c r="C12" s="50">
        <f>'🔒 内部智能核价台(业务员专享)'!B11</f>
      </c>
      <c r="D12" s="51">
        <f>'🔒 内部智能核价台(业务员专享)'!C11</f>
      </c>
      <c r="E12" s="49" t="s">
        <v>68</v>
      </c>
      <c r="F12" s="52">
        <v>500</v>
      </c>
      <c r="G12" s="20">
        <f>'🔒 内部智能核价台(业务员专享)'!M11</f>
      </c>
      <c r="H12" s="49" t="s">
        <v>69</v>
      </c>
    </row>
    <row r="13" ht="24" customHeight="1" spans="2:8" x14ac:dyDescent="0.25">
      <c r="B13" s="53">
        <v>4</v>
      </c>
      <c r="C13" s="54">
        <f>'🔒 内部智能核价台(业务员专享)'!B12</f>
      </c>
      <c r="D13" s="55">
        <f>'🔒 内部智能核价台(业务员专享)'!C12</f>
      </c>
      <c r="E13" s="53" t="s">
        <v>68</v>
      </c>
      <c r="F13" s="56">
        <v>500</v>
      </c>
      <c r="G13" s="30">
        <f>'🔒 内部智能核价台(业务员专享)'!M12</f>
      </c>
      <c r="H13" s="53" t="s">
        <v>69</v>
      </c>
    </row>
    <row r="14" ht="24" customHeight="1" spans="2:8" x14ac:dyDescent="0.25">
      <c r="B14" s="49">
        <v>5</v>
      </c>
      <c r="C14" s="50">
        <f>'🔒 内部智能核价台(业务员专享)'!B13</f>
      </c>
      <c r="D14" s="51">
        <f>'🔒 内部智能核价台(业务员专享)'!C13</f>
      </c>
      <c r="E14" s="49" t="s">
        <v>68</v>
      </c>
      <c r="F14" s="52">
        <v>500</v>
      </c>
      <c r="G14" s="20">
        <f>'🔒 内部智能核价台(业务员专享)'!M13</f>
      </c>
      <c r="H14" s="49" t="s">
        <v>69</v>
      </c>
    </row>
    <row r="15" ht="24" customHeight="1" spans="2:8" x14ac:dyDescent="0.25">
      <c r="B15" s="53">
        <v>6</v>
      </c>
      <c r="C15" s="54">
        <f>'🔒 内部智能核价台(业务员专享)'!B14</f>
      </c>
      <c r="D15" s="55">
        <f>'🔒 内部智能核价台(业务员专享)'!C14</f>
      </c>
      <c r="E15" s="53" t="s">
        <v>68</v>
      </c>
      <c r="F15" s="56">
        <v>500</v>
      </c>
      <c r="G15" s="30">
        <f>'🔒 内部智能核价台(业务员专享)'!M14</f>
      </c>
      <c r="H15" s="53" t="s">
        <v>69</v>
      </c>
    </row>
    <row r="17" spans="2:8" x14ac:dyDescent="0.25">
      <c r="B17" s="57" t="s">
        <v>70</v>
      </c>
      <c r="C17" s="57"/>
      <c r="D17" s="57"/>
      <c r="E17" s="57"/>
      <c r="F17" s="57"/>
      <c r="G17" s="57"/>
      <c r="H17" s="57"/>
    </row>
    <row r="18" spans="2:8" x14ac:dyDescent="0.25">
      <c r="B18" s="57"/>
      <c r="C18" s="57"/>
      <c r="D18" s="57"/>
      <c r="E18" s="57"/>
      <c r="F18" s="57"/>
      <c r="G18" s="57"/>
      <c r="H18" s="57"/>
    </row>
    <row r="19" spans="2:8" x14ac:dyDescent="0.25">
      <c r="B19" s="57"/>
      <c r="C19" s="57"/>
      <c r="D19" s="57"/>
      <c r="E19" s="57"/>
      <c r="F19" s="57"/>
      <c r="G19" s="57"/>
      <c r="H19" s="57"/>
    </row>
  </sheetData>
  <mergeCells count="9">
    <mergeCell ref="B2:H2"/>
    <mergeCell ref="B3:H3"/>
    <mergeCell ref="B5:D5"/>
    <mergeCell ref="F5:H5"/>
    <mergeCell ref="B6:D6"/>
    <mergeCell ref="F6:H6"/>
    <mergeCell ref="B7:D7"/>
    <mergeCell ref="F7:H7"/>
    <mergeCell ref="B17:H19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🔒 内部智能核价台(业务员专享)</vt:lpstr>
      <vt:lpstr>📄 对外商业报价单(纯净导出)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代码佬Kelvin (KelvinFlow)</dc:creator>
  <dc:title/>
  <dc:subject/>
  <dc:description/>
  <cp:keywords/>
  <cp:category/>
  <cp:lastModifiedBy>代码佬Kelvin</cp:lastModifiedBy>
  <dcterms:created xsi:type="dcterms:W3CDTF">2026-10-07T08:54:04Z</dcterms:created>
  <dcterms:modified xsi:type="dcterms:W3CDTF">2026-10-07T08:54:04Z</dcterms:modified>
</cp:coreProperties>
</file>