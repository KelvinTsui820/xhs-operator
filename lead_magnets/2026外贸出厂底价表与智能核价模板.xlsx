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📌 使用指南与提效神器" state="visible" r:id="rId4"/>
    <sheet sheetId="2" name="⚙️ 全局核算参数 (Config)" state="visible" r:id="rId5"/>
    <sheet sheetId="3" name="📦 商品出厂底价库 (Products)" state="visible" r:id="rId6"/>
    <sheet sheetId="4" name="📄 对外纯净批量报价单 (脱敏单)" state="visible" r:id="rId7"/>
  </sheets>
  <calcPr calcId="171027"/>
</workbook>
</file>

<file path=xl/sharedStrings.xml><?xml version="1.0" encoding="utf-8"?>
<sst xmlns="http://schemas.openxmlformats.org/spreadsheetml/2006/main" count="170" uniqueCount="160">
  <si>
    <t>【2026外贸出厂底价表与智能核价模板】使用指南</t>
  </si>
  <si>
    <t>1. 为什么做这套表？</t>
  </si>
  <si>
    <t>拒绝单品手工反复按计算器！本表专为工贸一体外贸工厂、外贸公司与独立业务员打造。左侧批量录入底价与箱规，右侧全自动联动秒出全量多币种 FOB 美金单价、集装箱装柜量与利润红线防御。</t>
  </si>
  <si>
    <t>2. 【⚙️ 全局核算参数】怎么用？</t>
  </si>
  <si>
    <t>在第 2 张工作表顶部可【一键下拉切换主结算币种】（支持 USD / EUR / GBP / AUD / CAD），全库商品底价与对外报价单秒级自动自适应切换！同时可设定内部锁定汇率、保底毛利（如 15%）、利润防穿底红线（如 8%）与海运进仓港杂平摊（如 0.20 元/件）。在此微调后，全库商品自动秒级联动更新。</t>
  </si>
  <si>
    <t>3. 【📦 商品出厂底价库】怎么用？</t>
  </si>
  <si>
    <t>在第 3 张工作表批量录入产品 SKU、出厂底价与包装尺寸。黄色公式区会自动联动倒算出精准 FOB 外币报价、自动算出 20GP/40HQ 可装柜件数；若某品毛利低于红线会自动闪烁警报。</t>
  </si>
  <si>
    <t>4. 对外发给买家安全吗？</t>
  </si>
  <si>
    <t>100% 安全！第 4 张工作表【📄 对外纯净批量报价单】专为海外买家设计，工厂出厂底价、内部成本与真实毛利率全部自动脱敏隐藏，可直接打印或导出 PDF 发给海外买家。</t>
  </si>
  <si>
    <t>5. 🚀 无缝直通线上版 (SaaS引擎)</t>
  </si>
  <si>
    <t>本表格式与 KelvinFlow 智能出单引擎 (https://quote.kelvinflow.com) 完全一致！平时直接当离线底价库用；一旦买家发来几十个型号的长篇英文邮件或 PDF 询盘，直接把本表上传到系统，转发邮件，AI 10 秒自动审单对齐底价生成专业英文报价单。小红书官方群友免审开通 7 天深度体验。</t>
  </si>
  <si>
    <t>6. 开源与版权说明</t>
  </si>
  <si>
    <t>由大湾区全栈独立开发者 Kelvin (IT佬Kelvin) 荣誉出品，永久免费，纯净无广告，禁止二次倒卖。欢迎在小红书官方粉丝群内交流探讨！</t>
  </si>
  <si>
    <t>🏢 我司外贸出厂核算控制台 · 全局业务参数配置 (Global Configuration)</t>
  </si>
  <si>
    <t>💡【核算中枢指引】在此设定贵司（或个人）内部锁定汇率、保底毛利率与业务参数，全库商品将自动秒级联动倒算。日常核价只需在此微调参数，无需逐个单品修改。</t>
  </si>
  <si>
    <t>💵 模块一：结算币种与全局主报价切换 (Currency &amp; Master Active Currency)</t>
  </si>
  <si>
    <t>🎯 当前全局核算与报价主币种 (Active Currency)</t>
  </si>
  <si>
    <t>USD</t>
  </si>
  <si>
    <t>👈 下拉切换主币种：全库底价与对外报价单秒级自适应！</t>
  </si>
  <si>
    <t>外币币种 (Target Currency)</t>
  </si>
  <si>
    <t>内部锁定汇率 (Rate To RMB)</t>
  </si>
  <si>
    <t>币种符号 (Symbol)</t>
  </si>
  <si>
    <t>汇率波动预警保护基准</t>
  </si>
  <si>
    <t>适用采购区域 (采购商来源)</t>
  </si>
  <si>
    <t>$</t>
  </si>
  <si>
    <t>★ 默认主币种 (波动±3%保护)</t>
  </si>
  <si>
    <t>北美、东南亚、全球主流外贸结算 (默认主币种)</t>
  </si>
  <si>
    <t>EUR</t>
  </si>
  <si>
    <t>€</t>
  </si>
  <si>
    <t>基准锁定汇率 (波动±3%保护)</t>
  </si>
  <si>
    <t>欧盟及欧洲自由贸易区国家采购商</t>
  </si>
  <si>
    <t>GBP</t>
  </si>
  <si>
    <t>£</t>
  </si>
  <si>
    <t>英国及英联邦国家采购商</t>
  </si>
  <si>
    <t>AUD</t>
  </si>
  <si>
    <t>A$</t>
  </si>
  <si>
    <t>澳大利亚、新西兰及大洋洲采购商</t>
  </si>
  <si>
    <t>CAD</t>
  </si>
  <si>
    <t>C$</t>
  </si>
  <si>
    <t>加拿大市场专属采购商</t>
  </si>
  <si>
    <t>📈 模块二：利润红线与防穿底控制 (Profit Margin &amp; Cost Protection)</t>
  </si>
  <si>
    <t>参数控制项 (Control Parameter)</t>
  </si>
  <si>
    <t>设置基准值 (Setting Value)</t>
  </si>
  <si>
    <t>参数格式/单位</t>
  </si>
  <si>
    <t>系统生效机制与风控规则说明</t>
  </si>
  <si>
    <t>💡 实战风控与业务避坑建议</t>
  </si>
  <si>
    <t>全厂默认保底毛利率 (Default Margin)</t>
  </si>
  <si>
    <t>百分比 (0.15)</t>
  </si>
  <si>
    <t>出厂安全底价基础上浮动加价；单品未设时自动继承此参数</t>
  </si>
  <si>
    <t>建议常规大货订单基准，给买家还价预留 3%~5% 安全博弈空间</t>
  </si>
  <si>
    <t>最低保护红线毛利率 (Floor Margin)</t>
  </si>
  <si>
    <t>百分比 (0.08)</t>
  </si>
  <si>
    <t>业务员最低授权底线，低于此红线系统强制拦截并报警打回</t>
  </si>
  <si>
    <t>底线防御警戒线！低于此值系统自动标红警报，防止业务员算亏</t>
  </si>
  <si>
    <t>样品打样费上浮倍率 (Sample Multiplier)</t>
  </si>
  <si>
    <t>倍率 (出厂价*2.5)</t>
  </si>
  <si>
    <t>覆盖小批量散单模具调机成本，后续批量达标全额抵扣货款</t>
  </si>
  <si>
    <t>覆盖小批量散单机台调机损耗，可在合同中约定大货满额全额返还</t>
  </si>
  <si>
    <t>报价单默认有效期 (Price Validity)</t>
  </si>
  <si>
    <t>30 Days</t>
  </si>
  <si>
    <t>天数</t>
  </si>
  <si>
    <t>超出 30 天需重新核实原材料成本与外币汇率波动情况</t>
  </si>
  <si>
    <t>严防海运费与汇率剧烈波动风险，超期需重新核算，避免履约亏损</t>
  </si>
  <si>
    <t>🚢 模块三：默认贸易术语与杂费基准 (Incoterms &amp; Port Charges)</t>
  </si>
  <si>
    <t>贸易术语 (Incoterm)</t>
  </si>
  <si>
    <t>指定交货港口 / 地点</t>
  </si>
  <si>
    <t>单件均摊杂费 (RMB)</t>
  </si>
  <si>
    <t>整柜固定杂费 (RMB)</t>
  </si>
  <si>
    <t>费用包含范围与口岸说明</t>
  </si>
  <si>
    <t>EXW</t>
  </si>
  <si>
    <t>工厂车间自提 (Factory Ex-works)</t>
  </si>
  <si>
    <t>买家自提，仅含标准纸箱包装，无港口杂费与拖车费</t>
  </si>
  <si>
    <t>FOB</t>
  </si>
  <si>
    <t>深圳盐田港 / 蛇口港 (Shenzhen)</t>
  </si>
  <si>
    <t>包含工厂至深圳码头内陆拖车、出口报关、港杂码头费(THC)</t>
  </si>
  <si>
    <t>CIF</t>
  </si>
  <si>
    <t>目的港（根据买家询盘实时测算）</t>
  </si>
  <si>
    <t>实时测算</t>
  </si>
  <si>
    <t>含基础货运险</t>
  </si>
  <si>
    <t>根据货柜实际目的港与实时船期核算海运费与保费</t>
  </si>
  <si>
    <t>💳 模块四：默认付款方式与结算浮动 (Payment Terms)</t>
  </si>
  <si>
    <t>付款方式 (Payment Term)</t>
  </si>
  <si>
    <t>价格浮动比例 (%)</t>
  </si>
  <si>
    <t>支持结算币种</t>
  </si>
  <si>
    <t>资金周转成本与商业规则说明</t>
  </si>
  <si>
    <t>适用客户等级与授信</t>
  </si>
  <si>
    <t>100% T/T Advance (全款预付)</t>
  </si>
  <si>
    <t>USD / EUR / GBP</t>
  </si>
  <si>
    <t>买家全款预付直享 98 折，极大加速工厂现金流周转</t>
  </si>
  <si>
    <t>新老客户通用优惠</t>
  </si>
  <si>
    <t>30% Deposit + 70% Balance (标准前T/T)</t>
  </si>
  <si>
    <t>外贸行业标准条款：30%定金排产，70%见提单副本付款</t>
  </si>
  <si>
    <t>标准成交客户</t>
  </si>
  <si>
    <t>L/C at Sight (即期不可撤销信用证)</t>
  </si>
  <si>
    <t>USD / EUR</t>
  </si>
  <si>
    <t>覆盖银行开证手续费与议付审单合规成本</t>
  </si>
  <si>
    <t>信用优良大客户</t>
  </si>
  <si>
    <t>📦 模块五：集装箱装载容积速查标尺 (Container Volume Guidelines)</t>
  </si>
  <si>
    <t>集装箱型号 (Container Type)</t>
  </si>
  <si>
    <t>安全装载容积 (CBM)</t>
  </si>
  <si>
    <t>理论容积 (CBM)</t>
  </si>
  <si>
    <t>最大限重 (KG)</t>
  </si>
  <si>
    <t>装柜适用选型建议</t>
  </si>
  <si>
    <t>20GP (20尺小柜)</t>
  </si>
  <si>
    <t>适合五金紧固件、金属椅脚等高密度重货或试单</t>
  </si>
  <si>
    <t>40GP (40尺平柜)</t>
  </si>
  <si>
    <t>适合体积适中、重量适中的常规工业品与配件</t>
  </si>
  <si>
    <t>40HQ (40尺高柜)</t>
  </si>
  <si>
    <t>适合办公椅、支架、轻泡货等大体积外贸商品</t>
  </si>
  <si>
    <t>产品型号 / SKU (必填)</t>
  </si>
  <si>
    <t>买家常用别名 (Aliases·选填)</t>
  </si>
  <si>
    <t>产品英文品名与规格描述 (必填)</t>
  </si>
  <si>
    <t>出厂底价 (RMB Cost·必填安全底价)</t>
  </si>
  <si>
    <t>最低起订量 MOQ (PCS·选填)</t>
  </si>
  <si>
    <t>单箱装量 (PCS/CTN·选填)</t>
  </si>
  <si>
    <t>外箱体积 (CBM/CTN·选填)</t>
  </si>
  <si>
    <t>单箱毛重 G.W. (kg/CTN·选填)</t>
  </si>
  <si>
    <t>单品专属保底毛利率 (选填·留空继承15%)</t>
  </si>
  <si>
    <t>专属生产交期 (选填·留空继承25-30天)</t>
  </si>
  <si>
    <t>海关编码 HS Code (选填)</t>
  </si>
  <si>
    <t>⚡ 单件港杂平摊(RMB)</t>
  </si>
  <si>
    <t>⚡ 生效核算毛利率</t>
  </si>
  <si>
    <t>📦 20GP小柜装量(PCS)</t>
  </si>
  <si>
    <t>📦 40HQ高柜装量(PCS)</t>
  </si>
  <si>
    <t>🛡️ 利润安全状态</t>
  </si>
  <si>
    <t>ST-2026-A</t>
  </si>
  <si>
    <t>ACME-991, Heavy Bracket, 991支架, Stand Pro</t>
  </si>
  <si>
    <t>Aluminum Alloy Precision Bracket (铝合金精密五金支架)</t>
  </si>
  <si>
    <t>20-25 Days</t>
  </si>
  <si>
    <t>7616.99.9000</t>
  </si>
  <si>
    <t>ST-2026-B</t>
  </si>
  <si>
    <t>FAST-SCREW, Hex Bolt, 不锈钢紧固件, 8820螺丝</t>
  </si>
  <si>
    <t>Stainless Steel Hex Fastener Screws (不锈钢沉头紧固件螺丝)</t>
  </si>
  <si>
    <t>15-20 Days</t>
  </si>
  <si>
    <t>7318.15.9000</t>
  </si>
  <si>
    <t>ERG-PRO-V2</t>
  </si>
  <si>
    <t>Executive Chair, 9088办公椅, CHAIR-MESH-PRO, Ergo Chair</t>
  </si>
  <si>
    <t>Ergonomic Mesh Office Chair (高档网布人体工学办公椅)</t>
  </si>
  <si>
    <t>30-35 Days</t>
  </si>
  <si>
    <t>9401.30.0000</t>
  </si>
  <si>
    <t>AL-BASE-99</t>
  </si>
  <si>
    <t>5 Star Base, Chair Leg, 铝合金五星脚, Star Base 99</t>
  </si>
  <si>
    <t>Die-casting Aluminum 5-Star Base (高压铸铝合金五星椅脚)</t>
  </si>
  <si>
    <t>25-30 Days</t>
  </si>
  <si>
    <t>9401.90.9000</t>
  </si>
  <si>
    <t>HD-ARM-08</t>
  </si>
  <si>
    <t>3D Armrest, PU Arm, 升降扶手, ARM-08</t>
  </si>
  <si>
    <t>3D Adjustable PU Armrest Set (3D多功能升降PU扶手套装)</t>
  </si>
  <si>
    <t>HD-ARM-09</t>
  </si>
  <si>
    <t>3D Armrest Pro, PU Armrest Plus, 加强升降扶手, ARM-09</t>
  </si>
  <si>
    <t>GLOBAL EXPORT</t>
  </si>
  <si>
    <t>FORMAL COMMERCIAL OFFER (FOB SHENZHEN)</t>
  </si>
  <si>
    <t>Item</t>
  </si>
  <si>
    <t>Model No.</t>
  </si>
  <si>
    <t>Product Description &amp; Detailed Specifications</t>
  </si>
  <si>
    <t>MOQ (PCS)</t>
  </si>
  <si>
    <t>Packing (PCS/CTN)</t>
  </si>
  <si>
    <t>20GP Est. (PCS)</t>
  </si>
  <si>
    <t>40HQ Est. (PCS)</t>
  </si>
  <si>
    <t>Lead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</si>
</sst>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%"/>
    <numFmt numFmtId="165" formatCode="0.0"/>
    <numFmt numFmtId="166" formatCode="¥#,##0.00"/>
    <numFmt numFmtId="167" formatCode="+0.0%;-0.0%;0.0%"/>
    <numFmt numFmtId="168" formatCode="0.0&quot; CBM&quot;"/>
    <numFmt numFmtId="169" formatCode="#,##0&quot; KG&quot;"/>
    <numFmt numFmtId="170" formatCode="0.000"/>
  </numFmts>
  <fonts count="23" x14ac:knownFonts="1">
    <font>
      <color theme="1"/>
      <family val="2"/>
      <scheme val="minor"/>
      <sz val="11"/>
      <name val="Calibri"/>
    </font>
    <font>
      <b/>
      <color rgb="FFFFFFFF"/>
      <sz val="13"/>
      <name val="Microsoft YaHei"/>
    </font>
    <font>
      <b/>
      <color rgb="FF1E3A8A"/>
      <sz val="10"/>
      <name val="Microsoft YaHei"/>
    </font>
    <font>
      <color rgb="FF1E293B"/>
      <sz val="9.5"/>
      <name val="Microsoft YaHei"/>
    </font>
    <font>
      <color rgb="FF475569"/>
      <sz val="9.5"/>
      <name val="Microsoft YaHei"/>
    </font>
    <font>
      <b/>
      <color rgb="FF1E3A8A"/>
      <sz val="11"/>
      <name val="Microsoft YaHei"/>
    </font>
    <font>
      <b/>
      <color rgb="FF1E3A8A"/>
      <sz val="10.5"/>
      <name val="Microsoft YaHei"/>
    </font>
    <font>
      <i/>
      <color rgb="FF475569"/>
      <sz val="9.5"/>
      <name val="Microsoft YaHei"/>
    </font>
    <font>
      <b/>
      <color rgb="FFFFFFFF"/>
      <sz val="10"/>
      <name val="Microsoft YaHei"/>
    </font>
    <font>
      <b/>
      <color rgb="FF1E293B"/>
      <sz val="10"/>
      <name val="Microsoft YaHei"/>
    </font>
    <font>
      <color rgb="FF1E293B"/>
      <sz val="10"/>
      <name val="Microsoft YaHei"/>
    </font>
    <font>
      <b/>
      <color rgb="FFB91C1C"/>
      <sz val="10"/>
      <name val="Microsoft YaHei"/>
    </font>
    <font>
      <color rgb="FFB91C1C"/>
      <sz val="10"/>
      <name val="Microsoft YaHei"/>
    </font>
    <font>
      <b/>
      <color rgb="FFFFFFFF"/>
      <sz val="10.5"/>
      <name val="Microsoft YaHei"/>
    </font>
    <font>
      <b/>
      <color rgb="FF1E293B"/>
      <sz val="9.5"/>
      <name val="Microsoft YaHei"/>
    </font>
    <font>
      <b/>
      <color rgb="FF1E3A8A"/>
      <sz val="9.5"/>
      <name val="Microsoft YaHei"/>
    </font>
    <font>
      <b/>
      <color rgb="FFFFFFFF"/>
      <sz val="12"/>
      <name val="Arial"/>
    </font>
    <font>
      <b/>
      <color rgb="FFFFFFFF"/>
      <sz val="12.5"/>
      <name val="Arial"/>
    </font>
    <font>
      <b/>
      <i/>
      <color rgb="FF1E293B"/>
      <sz val="9"/>
      <name val="Arial"/>
    </font>
    <font>
      <i/>
      <color rgb="FF1E293B"/>
      <sz val="9.5"/>
      <name val="Arial"/>
    </font>
    <font>
      <b/>
      <color rgb="FFFFFFFF"/>
      <sz val="10"/>
      <name val="Arial"/>
    </font>
    <font>
      <color rgb="FF1E293B"/>
      <sz val="9.5"/>
      <name val="Arial"/>
    </font>
    <font>
      <b/>
      <color rgb="FF1E3A8A"/>
      <sz val="10"/>
      <name val="Arial"/>
    </font>
  </fonts>
  <fills count="9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FEF3C7"/>
      </patternFill>
    </fill>
    <fill>
      <patternFill patternType="solid">
        <fgColor rgb="FF2563EB"/>
      </patternFill>
    </fill>
    <fill>
      <patternFill patternType="solid">
        <fgColor rgb="FFD97706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left" vertical="center" indent="1"/>
    </xf>
    <xf numFmtId="0" fontId="3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4" fillId="5" borderId="0" xfId="0" applyFont="1" applyFill="1" applyAlignment="1">
      <alignment horizontal="left" vertical="center" indent="1"/>
    </xf>
    <xf numFmtId="0" fontId="5" fillId="3" borderId="0" xfId="0" applyFont="1" applyFill="1" applyAlignment="1">
      <alignment horizontal="left" vertical="center" indent="1"/>
    </xf>
    <xf numFmtId="0" fontId="6" fillId="6" borderId="1" xfId="0" applyFont="1" applyFill="1" applyBorder="1" applyAlignment="1">
      <alignment horizontal="left" vertical="center" indent="1"/>
    </xf>
    <xf numFmtId="0" fontId="5" fillId="4" borderId="1" xfId="0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 indent="1"/>
    </xf>
    <xf numFmtId="0" fontId="8" fillId="7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left" vertical="center" indent="1"/>
    </xf>
    <xf numFmtId="0" fontId="9" fillId="5" borderId="1" xfId="0" applyFont="1" applyFill="1" applyBorder="1" applyAlignment="1">
      <alignment horizontal="center" vertical="center"/>
    </xf>
    <xf numFmtId="2" fontId="9" fillId="5" borderId="1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left" vertical="center" indent="1"/>
    </xf>
    <xf numFmtId="0" fontId="9" fillId="4" borderId="1" xfId="0" applyFont="1" applyFill="1" applyBorder="1" applyAlignment="1">
      <alignment horizontal="left" vertical="center" indent="1"/>
    </xf>
    <xf numFmtId="164" fontId="9" fillId="4" borderId="1" xfId="0" applyNumberFormat="1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left" vertical="center" indent="1"/>
    </xf>
    <xf numFmtId="164" fontId="11" fillId="5" borderId="1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left" vertical="center" indent="1"/>
    </xf>
    <xf numFmtId="165" fontId="9" fillId="4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left" vertical="center" indent="1"/>
    </xf>
    <xf numFmtId="166" fontId="10" fillId="4" borderId="1" xfId="0" applyNumberFormat="1" applyFont="1" applyFill="1" applyBorder="1" applyAlignment="1">
      <alignment horizontal="center" vertical="center"/>
    </xf>
    <xf numFmtId="166" fontId="10" fillId="5" borderId="1" xfId="0" applyNumberFormat="1" applyFont="1" applyFill="1" applyBorder="1" applyAlignment="1">
      <alignment horizontal="center" vertical="center"/>
    </xf>
    <xf numFmtId="167" fontId="10" fillId="4" borderId="1" xfId="0" applyNumberFormat="1" applyFont="1" applyFill="1" applyBorder="1" applyAlignment="1">
      <alignment horizontal="center" vertical="center"/>
    </xf>
    <xf numFmtId="167" fontId="10" fillId="5" borderId="1" xfId="0" applyNumberFormat="1" applyFont="1" applyFill="1" applyBorder="1" applyAlignment="1">
      <alignment horizontal="center" vertical="center"/>
    </xf>
    <xf numFmtId="168" fontId="10" fillId="4" borderId="1" xfId="0" applyNumberFormat="1" applyFont="1" applyFill="1" applyBorder="1" applyAlignment="1">
      <alignment horizontal="center" vertical="center"/>
    </xf>
    <xf numFmtId="169" fontId="10" fillId="4" borderId="1" xfId="0" applyNumberFormat="1" applyFont="1" applyFill="1" applyBorder="1" applyAlignment="1">
      <alignment horizontal="center" vertical="center"/>
    </xf>
    <xf numFmtId="168" fontId="10" fillId="5" borderId="1" xfId="0" applyNumberFormat="1" applyFont="1" applyFill="1" applyBorder="1" applyAlignment="1">
      <alignment horizontal="center" vertical="center"/>
    </xf>
    <xf numFmtId="169" fontId="10" fillId="5" borderId="1" xfId="0" applyNumberFormat="1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indent="1"/>
    </xf>
    <xf numFmtId="0" fontId="3" fillId="4" borderId="1" xfId="0" applyFont="1" applyFill="1" applyBorder="1" applyAlignment="1">
      <alignment horizontal="left" vertical="center" wrapText="1" indent="1"/>
    </xf>
    <xf numFmtId="166" fontId="14" fillId="4" borderId="1" xfId="0" applyNumberFormat="1" applyFont="1" applyFill="1" applyBorder="1" applyAlignment="1">
      <alignment horizontal="right" vertical="center"/>
    </xf>
    <xf numFmtId="3" fontId="3" fillId="4" borderId="1" xfId="0" applyNumberFormat="1" applyFont="1" applyFill="1" applyBorder="1" applyAlignment="1">
      <alignment horizontal="center" vertical="center"/>
    </xf>
    <xf numFmtId="170" fontId="3" fillId="4" borderId="1" xfId="0" applyNumberFormat="1" applyFont="1" applyFill="1" applyBorder="1" applyAlignment="1">
      <alignment horizontal="center" vertical="center"/>
    </xf>
    <xf numFmtId="165" fontId="3" fillId="4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6" fontId="3" fillId="6" borderId="1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4" fontId="15" fillId="6" borderId="1" xfId="0" applyNumberFormat="1" applyFont="1" applyFill="1" applyBorder="1" applyAlignment="1">
      <alignment horizontal="center" vertical="center"/>
    </xf>
    <xf numFmtId="3" fontId="3" fillId="6" borderId="1" xfId="0" applyNumberFormat="1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indent="1"/>
    </xf>
    <xf numFmtId="0" fontId="3" fillId="5" borderId="1" xfId="0" applyFont="1" applyFill="1" applyBorder="1" applyAlignment="1">
      <alignment horizontal="left" vertical="center" wrapText="1" indent="1"/>
    </xf>
    <xf numFmtId="166" fontId="14" fillId="5" borderId="1" xfId="0" applyNumberFormat="1" applyFont="1" applyFill="1" applyBorder="1" applyAlignment="1">
      <alignment horizontal="right" vertical="center"/>
    </xf>
    <xf numFmtId="3" fontId="3" fillId="5" borderId="1" xfId="0" applyNumberFormat="1" applyFont="1" applyFill="1" applyBorder="1" applyAlignment="1">
      <alignment horizontal="center" vertical="center"/>
    </xf>
    <xf numFmtId="170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0" fontId="16" fillId="2" borderId="2" xfId="0" applyFont="1" applyFill="1" applyBorder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0" fontId="18" fillId="5" borderId="2" xfId="0" applyFont="1" applyFill="1" applyBorder="1" applyAlignment="1">
      <alignment horizontal="center" vertical="center"/>
    </xf>
    <xf numFmtId="0" fontId="19" fillId="5" borderId="2" xfId="0" applyFont="1" applyFill="1" applyBorder="1" applyAlignment="1">
      <alignment horizontal="right" vertical="center" indent="1"/>
    </xf>
    <xf numFmtId="0" fontId="20" fillId="7" borderId="1" xfId="0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left" vertical="center" wrapText="1" indent="1"/>
    </xf>
    <xf numFmtId="3" fontId="21" fillId="4" borderId="1" xfId="0" applyNumberFormat="1" applyFont="1" applyFill="1" applyBorder="1" applyAlignment="1">
      <alignment horizontal="center" vertical="center" wrapText="1"/>
    </xf>
    <xf numFmtId="4" fontId="22" fillId="4" borderId="1" xfId="0" applyNumberFormat="1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left" vertical="center" wrapText="1" indent="1"/>
    </xf>
    <xf numFmtId="3" fontId="21" fillId="5" borderId="1" xfId="0" applyNumberFormat="1" applyFont="1" applyFill="1" applyBorder="1" applyAlignment="1">
      <alignment horizontal="center" vertical="center" wrapText="1"/>
    </xf>
    <xf numFmtId="4" fontId="22" fillId="5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/>
  </sheetViews>
  <sheetFormatPr defaultRowHeight="15" outlineLevelRow="0" outlineLevelCol="0" x14ac:dyDescent="55"/>
  <cols>
    <col min="1" max="1" width="38" customWidth="1"/>
    <col min="2" max="2" width="96" customWidth="1"/>
  </cols>
  <sheetData>
    <row r="1" ht="38" customHeight="1" spans="1:2" x14ac:dyDescent="0.25">
      <c r="A1" s="1" t="s">
        <v>0</v>
      </c>
      <c r="B1" s="1"/>
    </row>
    <row r="2" ht="52" customHeight="1" spans="1:2" x14ac:dyDescent="0.25">
      <c r="A2" s="2" t="s">
        <v>1</v>
      </c>
      <c r="B2" s="3" t="s">
        <v>2</v>
      </c>
    </row>
    <row r="3" ht="64" customHeight="1" spans="1:2" x14ac:dyDescent="0.25">
      <c r="A3" s="2" t="s">
        <v>3</v>
      </c>
      <c r="B3" s="4" t="s">
        <v>4</v>
      </c>
    </row>
    <row r="4" ht="52" customHeight="1" spans="1:2" x14ac:dyDescent="0.25">
      <c r="A4" s="2" t="s">
        <v>5</v>
      </c>
      <c r="B4" s="3" t="s">
        <v>6</v>
      </c>
    </row>
    <row r="5" ht="45" customHeight="1" spans="1:2" x14ac:dyDescent="0.25">
      <c r="A5" s="2" t="s">
        <v>7</v>
      </c>
      <c r="B5" s="4" t="s">
        <v>8</v>
      </c>
    </row>
    <row r="6" ht="88" customHeight="1" spans="1:2" x14ac:dyDescent="0.25">
      <c r="A6" s="2" t="s">
        <v>9</v>
      </c>
      <c r="B6" s="3" t="s">
        <v>10</v>
      </c>
    </row>
    <row r="7" ht="45" customHeight="1" spans="1:2" x14ac:dyDescent="0.25">
      <c r="A7" s="2" t="s">
        <v>11</v>
      </c>
      <c r="B7" s="4" t="s">
        <v>12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4"/>
  <sheetViews>
    <sheetView workbookViewId="0"/>
  </sheetViews>
  <sheetFormatPr defaultRowHeight="15" outlineLevelRow="0" outlineLevelCol="0" x14ac:dyDescent="55"/>
  <cols>
    <col min="1" max="1" width="48" customWidth="1"/>
    <col min="2" max="2" width="32" customWidth="1"/>
    <col min="3" max="3" width="22" customWidth="1"/>
    <col min="4" max="4" width="60" customWidth="1"/>
    <col min="5" max="5" width="72" customWidth="1"/>
  </cols>
  <sheetData>
    <row r="1" ht="38" customHeight="1" spans="1:5" x14ac:dyDescent="0.25">
      <c r="A1" s="1" t="s">
        <v>13</v>
      </c>
      <c r="B1" s="1"/>
      <c r="C1" s="1"/>
      <c r="D1" s="1"/>
      <c r="E1" s="1"/>
    </row>
    <row r="2" ht="26" customHeight="1" spans="1:5" x14ac:dyDescent="0.25">
      <c r="A2" s="5" t="s">
        <v>14</v>
      </c>
      <c r="B2" s="5"/>
      <c r="C2" s="5"/>
      <c r="D2" s="5"/>
      <c r="E2" s="5"/>
    </row>
    <row r="3" ht="26" customHeight="1" spans="1:5" x14ac:dyDescent="0.25">
      <c r="A3" s="6" t="s">
        <v>15</v>
      </c>
      <c r="B3" s="6"/>
      <c r="C3" s="6"/>
      <c r="D3" s="6"/>
      <c r="E3" s="6"/>
    </row>
    <row r="4" ht="28" customHeight="1" spans="1:5" x14ac:dyDescent="0.25">
      <c r="A4" s="7" t="s">
        <v>16</v>
      </c>
      <c r="B4" s="8" t="s">
        <v>17</v>
      </c>
      <c r="C4" s="9">
        <f>VLOOKUP(B4, A6:C10, 2, FALSE)</f>
        <v>7.2</v>
      </c>
      <c r="D4" s="10" t="str">
        <f>VLOOKUP(B4, A6:C10, 3, FALSE)</f>
        <v>$</v>
      </c>
      <c r="E4" s="11" t="s">
        <v>18</v>
      </c>
    </row>
    <row r="5" ht="24" customHeight="1" spans="1:5" x14ac:dyDescent="0.25">
      <c r="A5" s="12" t="s">
        <v>19</v>
      </c>
      <c r="B5" s="12" t="s">
        <v>20</v>
      </c>
      <c r="C5" s="12" t="s">
        <v>21</v>
      </c>
      <c r="D5" s="12" t="s">
        <v>22</v>
      </c>
      <c r="E5" s="12" t="s">
        <v>23</v>
      </c>
    </row>
    <row r="6" ht="22" customHeight="1" spans="1:5" x14ac:dyDescent="0.25">
      <c r="A6" s="13" t="s">
        <v>17</v>
      </c>
      <c r="B6" s="14">
        <v>7.2</v>
      </c>
      <c r="C6" s="15" t="s">
        <v>24</v>
      </c>
      <c r="D6" s="16" t="s">
        <v>25</v>
      </c>
      <c r="E6" s="16" t="s">
        <v>26</v>
      </c>
    </row>
    <row r="7" ht="22" customHeight="1" spans="1:5" x14ac:dyDescent="0.25">
      <c r="A7" s="17" t="s">
        <v>27</v>
      </c>
      <c r="B7" s="18">
        <v>7.85</v>
      </c>
      <c r="C7" s="19" t="s">
        <v>28</v>
      </c>
      <c r="D7" s="20" t="s">
        <v>29</v>
      </c>
      <c r="E7" s="20" t="s">
        <v>30</v>
      </c>
    </row>
    <row r="8" ht="22" customHeight="1" spans="1:5" x14ac:dyDescent="0.25">
      <c r="A8" s="13" t="s">
        <v>31</v>
      </c>
      <c r="B8" s="14">
        <v>9.1</v>
      </c>
      <c r="C8" s="15" t="s">
        <v>32</v>
      </c>
      <c r="D8" s="16" t="s">
        <v>29</v>
      </c>
      <c r="E8" s="16" t="s">
        <v>33</v>
      </c>
    </row>
    <row r="9" ht="22" customHeight="1" spans="1:5" x14ac:dyDescent="0.25">
      <c r="A9" s="17" t="s">
        <v>34</v>
      </c>
      <c r="B9" s="18">
        <v>4.8</v>
      </c>
      <c r="C9" s="19" t="s">
        <v>35</v>
      </c>
      <c r="D9" s="20" t="s">
        <v>29</v>
      </c>
      <c r="E9" s="20" t="s">
        <v>36</v>
      </c>
    </row>
    <row r="10" ht="22" customHeight="1" spans="1:5" x14ac:dyDescent="0.25">
      <c r="A10" s="13" t="s">
        <v>37</v>
      </c>
      <c r="B10" s="14">
        <v>5.3</v>
      </c>
      <c r="C10" s="15" t="s">
        <v>38</v>
      </c>
      <c r="D10" s="16" t="s">
        <v>29</v>
      </c>
      <c r="E10" s="16" t="s">
        <v>39</v>
      </c>
    </row>
    <row r="11" ht="26" customHeight="1" spans="1:5" x14ac:dyDescent="0.25">
      <c r="A11" s="6" t="s">
        <v>40</v>
      </c>
      <c r="B11" s="6"/>
      <c r="C11" s="6"/>
      <c r="D11" s="6"/>
      <c r="E11" s="6"/>
    </row>
    <row r="12" ht="24" customHeight="1" spans="1:5" x14ac:dyDescent="0.25">
      <c r="A12" s="12" t="s">
        <v>41</v>
      </c>
      <c r="B12" s="12" t="s">
        <v>42</v>
      </c>
      <c r="C12" s="12" t="s">
        <v>43</v>
      </c>
      <c r="D12" s="12" t="s">
        <v>44</v>
      </c>
      <c r="E12" s="12" t="s">
        <v>45</v>
      </c>
    </row>
    <row r="13" ht="24" customHeight="1" spans="1:5" x14ac:dyDescent="0.25">
      <c r="A13" s="21" t="s">
        <v>46</v>
      </c>
      <c r="B13" s="22">
        <v>0.15</v>
      </c>
      <c r="C13" s="15" t="s">
        <v>47</v>
      </c>
      <c r="D13" s="16" t="s">
        <v>48</v>
      </c>
      <c r="E13" s="16" t="s">
        <v>49</v>
      </c>
    </row>
    <row r="14" ht="24" customHeight="1" spans="1:5" x14ac:dyDescent="0.25">
      <c r="A14" s="23" t="s">
        <v>50</v>
      </c>
      <c r="B14" s="24">
        <v>0.08</v>
      </c>
      <c r="C14" s="25" t="s">
        <v>51</v>
      </c>
      <c r="D14" s="26" t="s">
        <v>52</v>
      </c>
      <c r="E14" s="26" t="s">
        <v>53</v>
      </c>
    </row>
    <row r="15" ht="24" customHeight="1" spans="1:5" x14ac:dyDescent="0.25">
      <c r="A15" s="21" t="s">
        <v>54</v>
      </c>
      <c r="B15" s="27">
        <v>2.5</v>
      </c>
      <c r="C15" s="15" t="s">
        <v>55</v>
      </c>
      <c r="D15" s="16" t="s">
        <v>56</v>
      </c>
      <c r="E15" s="16" t="s">
        <v>57</v>
      </c>
    </row>
    <row r="16" ht="24" customHeight="1" spans="1:5" x14ac:dyDescent="0.25">
      <c r="A16" s="28" t="s">
        <v>58</v>
      </c>
      <c r="B16" s="17" t="s">
        <v>59</v>
      </c>
      <c r="C16" s="19" t="s">
        <v>60</v>
      </c>
      <c r="D16" s="20" t="s">
        <v>61</v>
      </c>
      <c r="E16" s="20" t="s">
        <v>62</v>
      </c>
    </row>
    <row r="18" ht="26" customHeight="1" spans="1:5" x14ac:dyDescent="0.25">
      <c r="A18" s="6" t="s">
        <v>63</v>
      </c>
      <c r="B18" s="6"/>
      <c r="C18" s="6"/>
      <c r="D18" s="6"/>
      <c r="E18" s="6"/>
    </row>
    <row r="19" ht="24" customHeight="1" spans="1:5" x14ac:dyDescent="0.25">
      <c r="A19" s="12" t="s">
        <v>64</v>
      </c>
      <c r="B19" s="12" t="s">
        <v>65</v>
      </c>
      <c r="C19" s="12" t="s">
        <v>66</v>
      </c>
      <c r="D19" s="12" t="s">
        <v>67</v>
      </c>
      <c r="E19" s="12" t="s">
        <v>68</v>
      </c>
    </row>
    <row r="20" ht="22" customHeight="1" spans="1:5" x14ac:dyDescent="0.25">
      <c r="A20" s="13" t="s">
        <v>69</v>
      </c>
      <c r="B20" s="16" t="s">
        <v>70</v>
      </c>
      <c r="C20" s="29">
        <v>0</v>
      </c>
      <c r="D20" s="29">
        <v>0</v>
      </c>
      <c r="E20" s="16" t="s">
        <v>71</v>
      </c>
    </row>
    <row r="21" ht="22" customHeight="1" spans="1:5" x14ac:dyDescent="0.25">
      <c r="A21" s="17" t="s">
        <v>72</v>
      </c>
      <c r="B21" s="20" t="s">
        <v>73</v>
      </c>
      <c r="C21" s="30">
        <v>0.2</v>
      </c>
      <c r="D21" s="30">
        <v>1500</v>
      </c>
      <c r="E21" s="20" t="s">
        <v>74</v>
      </c>
    </row>
    <row r="22" ht="22" customHeight="1" spans="1:5" x14ac:dyDescent="0.25">
      <c r="A22" s="13" t="s">
        <v>75</v>
      </c>
      <c r="B22" s="16" t="s">
        <v>76</v>
      </c>
      <c r="C22" s="15" t="s">
        <v>77</v>
      </c>
      <c r="D22" s="15" t="s">
        <v>78</v>
      </c>
      <c r="E22" s="16" t="s">
        <v>79</v>
      </c>
    </row>
    <row r="24" ht="26" customHeight="1" spans="1:5" x14ac:dyDescent="0.25">
      <c r="A24" s="6" t="s">
        <v>80</v>
      </c>
      <c r="B24" s="6"/>
      <c r="C24" s="6"/>
      <c r="D24" s="6"/>
      <c r="E24" s="6"/>
    </row>
    <row r="25" ht="24" customHeight="1" spans="1:5" x14ac:dyDescent="0.25">
      <c r="A25" s="12" t="s">
        <v>81</v>
      </c>
      <c r="B25" s="12" t="s">
        <v>82</v>
      </c>
      <c r="C25" s="12" t="s">
        <v>83</v>
      </c>
      <c r="D25" s="12" t="s">
        <v>84</v>
      </c>
      <c r="E25" s="12" t="s">
        <v>85</v>
      </c>
    </row>
    <row r="26" ht="22" customHeight="1" spans="1:5" x14ac:dyDescent="0.25">
      <c r="A26" s="21" t="s">
        <v>86</v>
      </c>
      <c r="B26" s="31">
        <v>-0.02</v>
      </c>
      <c r="C26" s="15" t="s">
        <v>87</v>
      </c>
      <c r="D26" s="16" t="s">
        <v>88</v>
      </c>
      <c r="E26" s="16" t="s">
        <v>89</v>
      </c>
    </row>
    <row r="27" ht="22" customHeight="1" spans="1:5" x14ac:dyDescent="0.25">
      <c r="A27" s="28" t="s">
        <v>90</v>
      </c>
      <c r="B27" s="32">
        <v>0</v>
      </c>
      <c r="C27" s="19" t="s">
        <v>87</v>
      </c>
      <c r="D27" s="20" t="s">
        <v>91</v>
      </c>
      <c r="E27" s="20" t="s">
        <v>92</v>
      </c>
    </row>
    <row r="28" ht="22" customHeight="1" spans="1:5" x14ac:dyDescent="0.25">
      <c r="A28" s="21" t="s">
        <v>93</v>
      </c>
      <c r="B28" s="31">
        <v>0.015</v>
      </c>
      <c r="C28" s="15" t="s">
        <v>94</v>
      </c>
      <c r="D28" s="16" t="s">
        <v>95</v>
      </c>
      <c r="E28" s="16" t="s">
        <v>96</v>
      </c>
    </row>
    <row r="30" ht="26" customHeight="1" spans="1:5" x14ac:dyDescent="0.25">
      <c r="A30" s="6" t="s">
        <v>97</v>
      </c>
      <c r="B30" s="6"/>
      <c r="C30" s="6"/>
      <c r="D30" s="6"/>
      <c r="E30" s="6"/>
    </row>
    <row r="31" ht="24" customHeight="1" spans="1:5" x14ac:dyDescent="0.25">
      <c r="A31" s="12" t="s">
        <v>98</v>
      </c>
      <c r="B31" s="12" t="s">
        <v>99</v>
      </c>
      <c r="C31" s="12" t="s">
        <v>100</v>
      </c>
      <c r="D31" s="12" t="s">
        <v>101</v>
      </c>
      <c r="E31" s="12" t="s">
        <v>102</v>
      </c>
    </row>
    <row r="32" ht="22" customHeight="1" spans="1:5" x14ac:dyDescent="0.25">
      <c r="A32" s="21" t="s">
        <v>103</v>
      </c>
      <c r="B32" s="33">
        <v>28</v>
      </c>
      <c r="C32" s="33">
        <v>33.2</v>
      </c>
      <c r="D32" s="34">
        <v>21800</v>
      </c>
      <c r="E32" s="16" t="s">
        <v>104</v>
      </c>
    </row>
    <row r="33" ht="22" customHeight="1" spans="1:5" x14ac:dyDescent="0.25">
      <c r="A33" s="28" t="s">
        <v>105</v>
      </c>
      <c r="B33" s="35">
        <v>58</v>
      </c>
      <c r="C33" s="35">
        <v>67.7</v>
      </c>
      <c r="D33" s="36">
        <v>26000</v>
      </c>
      <c r="E33" s="20" t="s">
        <v>106</v>
      </c>
    </row>
    <row r="34" ht="22" customHeight="1" spans="1:5" x14ac:dyDescent="0.25">
      <c r="A34" s="21" t="s">
        <v>107</v>
      </c>
      <c r="B34" s="33">
        <v>68</v>
      </c>
      <c r="C34" s="33">
        <v>76.3</v>
      </c>
      <c r="D34" s="34">
        <v>26000</v>
      </c>
      <c r="E34" s="16" t="s">
        <v>108</v>
      </c>
    </row>
  </sheetData>
  <mergeCells count="7">
    <mergeCell ref="A1:E1"/>
    <mergeCell ref="A2:E2"/>
    <mergeCell ref="A3:E3"/>
    <mergeCell ref="A11:E11"/>
    <mergeCell ref="A18:E18"/>
    <mergeCell ref="A24:E24"/>
    <mergeCell ref="A30:E30"/>
  </mergeCells>
  <dataValidations count="1">
    <dataValidation type="list" sqref="B4">
      <formula1>"USD,EUR,GBP,AUD,CAD"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26" customWidth="1"/>
    <col min="2" max="2" width="55" customWidth="1"/>
    <col min="3" max="3" width="60" customWidth="1"/>
    <col min="4" max="4" width="34" customWidth="1"/>
    <col min="5" max="5" width="28" customWidth="1"/>
    <col min="6" max="7" width="26" customWidth="1"/>
    <col min="8" max="8" width="30" customWidth="1"/>
    <col min="9" max="10" width="36" customWidth="1"/>
    <col min="11" max="11" width="26" customWidth="1"/>
    <col min="12" max="12" width="25" customWidth="1"/>
    <col min="13" max="13" width="22" customWidth="1"/>
    <col min="14" max="14" width="28" customWidth="1"/>
    <col min="15" max="16" width="26" customWidth="1"/>
    <col min="17" max="17" width="24" customWidth="1"/>
  </cols>
  <sheetData>
    <row r="1" ht="32" customHeight="1" spans="1:17" x14ac:dyDescent="0.25">
      <c r="A1" s="37" t="s">
        <v>109</v>
      </c>
      <c r="B1" s="37" t="s">
        <v>110</v>
      </c>
      <c r="C1" s="37" t="s">
        <v>111</v>
      </c>
      <c r="D1" s="37" t="s">
        <v>112</v>
      </c>
      <c r="E1" s="37" t="s">
        <v>113</v>
      </c>
      <c r="F1" s="37" t="s">
        <v>114</v>
      </c>
      <c r="G1" s="37" t="s">
        <v>115</v>
      </c>
      <c r="H1" s="37" t="s">
        <v>116</v>
      </c>
      <c r="I1" s="37" t="s">
        <v>117</v>
      </c>
      <c r="J1" s="37" t="s">
        <v>118</v>
      </c>
      <c r="K1" s="37" t="s">
        <v>119</v>
      </c>
      <c r="L1" s="38" t="s">
        <v>120</v>
      </c>
      <c r="M1" s="38" t="s">
        <v>121</v>
      </c>
      <c r="N1" s="38" t="str">
        <f>"🎯 FOB核算单价 (" &amp; '⚙️ 全局核算参数 (Config)'!$B$4 &amp; ")"</f>
        <v>🎯 FOB核算单价 (USD)</v>
      </c>
      <c r="O1" s="38" t="s">
        <v>122</v>
      </c>
      <c r="P1" s="38" t="s">
        <v>123</v>
      </c>
      <c r="Q1" s="38" t="s">
        <v>124</v>
      </c>
    </row>
    <row r="2" ht="24" customHeight="1" spans="1:17" x14ac:dyDescent="0.25">
      <c r="A2" s="39" t="s">
        <v>125</v>
      </c>
      <c r="B2" s="40" t="s">
        <v>126</v>
      </c>
      <c r="C2" s="41" t="s">
        <v>127</v>
      </c>
      <c r="D2" s="42">
        <v>15.5</v>
      </c>
      <c r="E2" s="43">
        <v>500</v>
      </c>
      <c r="F2" s="43">
        <v>50</v>
      </c>
      <c r="G2" s="44">
        <v>0.045</v>
      </c>
      <c r="H2" s="45">
        <v>14.5</v>
      </c>
      <c r="I2" s="46"/>
      <c r="J2" s="39" t="s">
        <v>128</v>
      </c>
      <c r="K2" s="39" t="s">
        <v>129</v>
      </c>
      <c r="L2" s="47">
        <f>IF(ISBLANK(D2), "", '⚙️ 全局核算参数 (Config)'!$C$21)</f>
      </c>
      <c r="M2" s="48">
        <f>IF(ISBLANK(D2), "", IF(ISBLANK(I2), '⚙️ 全局核算参数 (Config)'!$B$13, I2))</f>
      </c>
      <c r="N2" s="49">
        <f>IF(ISBLANK(D2), "", ROUND(((D2 * (1 + M2) + L2) / '⚙️ 全局核算参数 (Config)'!$C$4), 2))</f>
      </c>
      <c r="O2" s="50">
        <f>IF(OR(ISBLANK(D2), NOT(AND(G2&gt;0, F2&gt;0))), "", INT(('⚙️ 全局核算参数 (Config)'!$B$32 / G2)) * F2)</f>
      </c>
      <c r="P2" s="50">
        <f>IF(OR(ISBLANK(D2), NOT(AND(G2&gt;0, F2&gt;0))), "", INT(('⚙️ 全局核算参数 (Config)'!$B$34 / G2)) * F2)</f>
      </c>
      <c r="Q2" s="51">
        <f>IF(ISBLANK(D2), "", IF(M2&lt;'⚙️ 全局核算参数 (Config)'!$B$14, "🚨 穿透红线", IF(M2&gt;=0.25, "💎 高毛利款", "✅ 利润健康")))</f>
      </c>
    </row>
    <row r="3" ht="28" customHeight="1" spans="1:17" x14ac:dyDescent="0.25">
      <c r="A3" s="52" t="s">
        <v>130</v>
      </c>
      <c r="B3" s="53" t="s">
        <v>131</v>
      </c>
      <c r="C3" s="54" t="s">
        <v>132</v>
      </c>
      <c r="D3" s="55">
        <v>0.85</v>
      </c>
      <c r="E3" s="56">
        <v>5000</v>
      </c>
      <c r="F3" s="56">
        <v>1000</v>
      </c>
      <c r="G3" s="57">
        <v>0.02</v>
      </c>
      <c r="H3" s="58">
        <v>18</v>
      </c>
      <c r="I3" s="59">
        <v>0.18</v>
      </c>
      <c r="J3" s="52" t="s">
        <v>133</v>
      </c>
      <c r="K3" s="52" t="s">
        <v>134</v>
      </c>
      <c r="L3" s="47">
        <f>IF(ISBLANK(D3), "", '⚙️ 全局核算参数 (Config)'!$C$21)</f>
      </c>
      <c r="M3" s="48">
        <f>IF(ISBLANK(D3), "", IF(ISBLANK(I3), '⚙️ 全局核算参数 (Config)'!$B$13, I3))</f>
      </c>
      <c r="N3" s="49">
        <f>IF(ISBLANK(D3), "", ROUND(((D3 * (1 + M3) + L3) / '⚙️ 全局核算参数 (Config)'!$C$4), 2))</f>
      </c>
      <c r="O3" s="50">
        <f>IF(OR(ISBLANK(D3), NOT(AND(G3&gt;0, F3&gt;0))), "", INT(('⚙️ 全局核算参数 (Config)'!$B$32 / G3)) * F3)</f>
      </c>
      <c r="P3" s="50">
        <f>IF(OR(ISBLANK(D3), NOT(AND(G3&gt;0, F3&gt;0))), "", INT(('⚙️ 全局核算参数 (Config)'!$B$34 / G3)) * F3)</f>
      </c>
      <c r="Q3" s="51">
        <f>IF(ISBLANK(D3), "", IF(M3&lt;'⚙️ 全局核算参数 (Config)'!$B$14, "🚨 穿透红线", IF(M3&gt;=0.25, "💎 高毛利款", "✅ 利润健康")))</f>
      </c>
    </row>
    <row r="4" ht="24" customHeight="1" spans="1:17" x14ac:dyDescent="0.25">
      <c r="A4" s="39" t="s">
        <v>135</v>
      </c>
      <c r="B4" s="40" t="s">
        <v>136</v>
      </c>
      <c r="C4" s="41" t="s">
        <v>137</v>
      </c>
      <c r="D4" s="42">
        <v>185</v>
      </c>
      <c r="E4" s="43">
        <v>50</v>
      </c>
      <c r="F4" s="43">
        <v>1</v>
      </c>
      <c r="G4" s="44">
        <v>0.16</v>
      </c>
      <c r="H4" s="45">
        <v>16.2</v>
      </c>
      <c r="I4" s="46">
        <v>0.25</v>
      </c>
      <c r="J4" s="39" t="s">
        <v>138</v>
      </c>
      <c r="K4" s="39" t="s">
        <v>139</v>
      </c>
      <c r="L4" s="47">
        <f>IF(ISBLANK(D4), "", '⚙️ 全局核算参数 (Config)'!$C$21)</f>
      </c>
      <c r="M4" s="48">
        <f>IF(ISBLANK(D4), "", IF(ISBLANK(I4), '⚙️ 全局核算参数 (Config)'!$B$13, I4))</f>
      </c>
      <c r="N4" s="49">
        <f>IF(ISBLANK(D4), "", ROUND(((D4 * (1 + M4) + L4) / '⚙️ 全局核算参数 (Config)'!$C$4), 2))</f>
      </c>
      <c r="O4" s="50">
        <f>IF(OR(ISBLANK(D4), NOT(AND(G4&gt;0, F4&gt;0))), "", INT(('⚙️ 全局核算参数 (Config)'!$B$32 / G4)) * F4)</f>
      </c>
      <c r="P4" s="50">
        <f>IF(OR(ISBLANK(D4), NOT(AND(G4&gt;0, F4&gt;0))), "", INT(('⚙️ 全局核算参数 (Config)'!$B$34 / G4)) * F4)</f>
      </c>
      <c r="Q4" s="51">
        <f>IF(ISBLANK(D4), "", IF(M4&lt;'⚙️ 全局核算参数 (Config)'!$B$14, "🚨 穿透红线", IF(M4&gt;=0.25, "💎 高毛利款", "✅ 利润健康")))</f>
      </c>
    </row>
    <row r="5" ht="24" customHeight="1" spans="1:17" x14ac:dyDescent="0.25">
      <c r="A5" s="52" t="s">
        <v>140</v>
      </c>
      <c r="B5" s="53" t="s">
        <v>141</v>
      </c>
      <c r="C5" s="54" t="s">
        <v>142</v>
      </c>
      <c r="D5" s="55">
        <v>38</v>
      </c>
      <c r="E5" s="56">
        <v>200</v>
      </c>
      <c r="F5" s="56">
        <v>5</v>
      </c>
      <c r="G5" s="57">
        <v>0.08</v>
      </c>
      <c r="H5" s="58">
        <v>11</v>
      </c>
      <c r="I5" s="59"/>
      <c r="J5" s="52" t="s">
        <v>143</v>
      </c>
      <c r="K5" s="52" t="s">
        <v>144</v>
      </c>
      <c r="L5" s="47">
        <f>IF(ISBLANK(D5), "", '⚙️ 全局核算参数 (Config)'!$C$21)</f>
      </c>
      <c r="M5" s="48">
        <f>IF(ISBLANK(D5), "", IF(ISBLANK(I5), '⚙️ 全局核算参数 (Config)'!$B$13, I5))</f>
      </c>
      <c r="N5" s="49">
        <f>IF(ISBLANK(D5), "", ROUND(((D5 * (1 + M5) + L5) / '⚙️ 全局核算参数 (Config)'!$C$4), 2))</f>
      </c>
      <c r="O5" s="50">
        <f>IF(OR(ISBLANK(D5), NOT(AND(G5&gt;0, F5&gt;0))), "", INT(('⚙️ 全局核算参数 (Config)'!$B$32 / G5)) * F5)</f>
      </c>
      <c r="P5" s="50">
        <f>IF(OR(ISBLANK(D5), NOT(AND(G5&gt;0, F5&gt;0))), "", INT(('⚙️ 全局核算参数 (Config)'!$B$34 / G5)) * F5)</f>
      </c>
      <c r="Q5" s="51">
        <f>IF(ISBLANK(D5), "", IF(M5&lt;'⚙️ 全局核算参数 (Config)'!$B$14, "🚨 穿透红线", IF(M5&gt;=0.25, "💎 高毛利款", "✅ 利润健康")))</f>
      </c>
    </row>
    <row r="6" ht="24" customHeight="1" spans="1:17" x14ac:dyDescent="0.25">
      <c r="A6" s="39" t="s">
        <v>145</v>
      </c>
      <c r="B6" s="40" t="s">
        <v>146</v>
      </c>
      <c r="C6" s="41" t="s">
        <v>147</v>
      </c>
      <c r="D6" s="42">
        <v>24</v>
      </c>
      <c r="E6" s="43">
        <v>300</v>
      </c>
      <c r="F6" s="43">
        <v>20</v>
      </c>
      <c r="G6" s="44">
        <v>0.055</v>
      </c>
      <c r="H6" s="45">
        <v>9.5</v>
      </c>
      <c r="I6" s="46"/>
      <c r="J6" s="39" t="s">
        <v>128</v>
      </c>
      <c r="K6" s="39" t="s">
        <v>144</v>
      </c>
      <c r="L6" s="47">
        <f>IF(ISBLANK(D6), "", '⚙️ 全局核算参数 (Config)'!$C$21)</f>
      </c>
      <c r="M6" s="48">
        <f>IF(ISBLANK(D6), "", IF(ISBLANK(I6), '⚙️ 全局核算参数 (Config)'!$B$13, I6))</f>
      </c>
      <c r="N6" s="49">
        <f>IF(ISBLANK(D6), "", ROUND(((D6 * (1 + M6) + L6) / '⚙️ 全局核算参数 (Config)'!$C$4), 2))</f>
      </c>
      <c r="O6" s="50">
        <f>IF(OR(ISBLANK(D6), NOT(AND(G6&gt;0, F6&gt;0))), "", INT(('⚙️ 全局核算参数 (Config)'!$B$32 / G6)) * F6)</f>
      </c>
      <c r="P6" s="50">
        <f>IF(OR(ISBLANK(D6), NOT(AND(G6&gt;0, F6&gt;0))), "", INT(('⚙️ 全局核算参数 (Config)'!$B$34 / G6)) * F6)</f>
      </c>
      <c r="Q6" s="51">
        <f>IF(ISBLANK(D6), "", IF(M6&lt;'⚙️ 全局核算参数 (Config)'!$B$14, "🚨 穿透红线", IF(M6&gt;=0.25, "💎 高毛利款", "✅ 利润健康")))</f>
      </c>
    </row>
    <row r="7" ht="24" customHeight="1" spans="1:17" x14ac:dyDescent="0.25">
      <c r="A7" s="52" t="s">
        <v>148</v>
      </c>
      <c r="B7" s="53" t="s">
        <v>149</v>
      </c>
      <c r="C7" s="54" t="s">
        <v>147</v>
      </c>
      <c r="D7" s="55">
        <v>25</v>
      </c>
      <c r="E7" s="56">
        <v>300</v>
      </c>
      <c r="F7" s="56">
        <v>20</v>
      </c>
      <c r="G7" s="57">
        <v>0.055</v>
      </c>
      <c r="H7" s="58">
        <v>9.5</v>
      </c>
      <c r="I7" s="59"/>
      <c r="J7" s="52" t="s">
        <v>128</v>
      </c>
      <c r="K7" s="52" t="s">
        <v>144</v>
      </c>
      <c r="L7" s="47">
        <f>IF(ISBLANK(D7), "", '⚙️ 全局核算参数 (Config)'!$C$21)</f>
      </c>
      <c r="M7" s="48">
        <f>IF(ISBLANK(D7), "", IF(ISBLANK(I7), '⚙️ 全局核算参数 (Config)'!$B$13, I7))</f>
      </c>
      <c r="N7" s="49">
        <f>IF(ISBLANK(D7), "", ROUND(((D7 * (1 + M7) + L7) / '⚙️ 全局核算参数 (Config)'!$C$4), 2))</f>
      </c>
      <c r="O7" s="50">
        <f>IF(OR(ISBLANK(D7), NOT(AND(G7&gt;0, F7&gt;0))), "", INT(('⚙️ 全局核算参数 (Config)'!$B$32 / G7)) * F7)</f>
      </c>
      <c r="P7" s="50">
        <f>IF(OR(ISBLANK(D7), NOT(AND(G7&gt;0, F7&gt;0))), "", INT(('⚙️ 全局核算参数 (Config)'!$B$34 / G7)) * F7)</f>
      </c>
      <c r="Q7" s="51">
        <f>IF(ISBLANK(D7), "", IF(M7&lt;'⚙️ 全局核算参数 (Config)'!$B$14, "🚨 穿透红线", IF(M7&gt;=0.25, "💎 高毛利款", "✅ 利润健康")))</f>
      </c>
    </row>
    <row r="8" ht="24" customHeight="1" spans="1:17" x14ac:dyDescent="0.25">
      <c r="A8" s="39"/>
      <c r="B8" s="40"/>
      <c r="C8" s="41"/>
      <c r="D8" s="42"/>
      <c r="E8" s="43"/>
      <c r="F8" s="43"/>
      <c r="G8" s="44"/>
      <c r="H8" s="45"/>
      <c r="I8" s="46"/>
      <c r="J8" s="39"/>
      <c r="K8" s="39"/>
      <c r="L8" s="47">
        <f>IF(ISBLANK(D8), "", '⚙️ 全局核算参数 (Config)'!$C$21)</f>
      </c>
      <c r="M8" s="48">
        <f>IF(ISBLANK(D8), "", IF(ISBLANK(I8), '⚙️ 全局核算参数 (Config)'!$B$13, I8))</f>
      </c>
      <c r="N8" s="49">
        <f>IF(ISBLANK(D8), "", ROUND(((D8 * (1 + M8) + L8) / '⚙️ 全局核算参数 (Config)'!$C$4), 2))</f>
      </c>
      <c r="O8" s="50">
        <f>IF(OR(ISBLANK(D8), NOT(AND(G8&gt;0, F8&gt;0))), "", INT(('⚙️ 全局核算参数 (Config)'!$B$32 / G8)) * F8)</f>
      </c>
      <c r="P8" s="50">
        <f>IF(OR(ISBLANK(D8), NOT(AND(G8&gt;0, F8&gt;0))), "", INT(('⚙️ 全局核算参数 (Config)'!$B$34 / G8)) * F8)</f>
      </c>
      <c r="Q8" s="51">
        <f>IF(ISBLANK(D8), "", IF(M8&lt;'⚙️ 全局核算参数 (Config)'!$B$14, "🚨 穿透红线", IF(M8&gt;=0.25, "💎 高毛利款", "✅ 利润健康")))</f>
      </c>
    </row>
    <row r="9" ht="24" customHeight="1" spans="1:17" x14ac:dyDescent="0.25">
      <c r="A9" s="52"/>
      <c r="B9" s="53"/>
      <c r="C9" s="54"/>
      <c r="D9" s="55"/>
      <c r="E9" s="56"/>
      <c r="F9" s="56"/>
      <c r="G9" s="57"/>
      <c r="H9" s="58"/>
      <c r="I9" s="59"/>
      <c r="J9" s="52"/>
      <c r="K9" s="52"/>
      <c r="L9" s="47">
        <f>IF(ISBLANK(D9), "", '⚙️ 全局核算参数 (Config)'!$C$21)</f>
      </c>
      <c r="M9" s="48">
        <f>IF(ISBLANK(D9), "", IF(ISBLANK(I9), '⚙️ 全局核算参数 (Config)'!$B$13, I9))</f>
      </c>
      <c r="N9" s="49">
        <f>IF(ISBLANK(D9), "", ROUND(((D9 * (1 + M9) + L9) / '⚙️ 全局核算参数 (Config)'!$C$4), 2))</f>
      </c>
      <c r="O9" s="50">
        <f>IF(OR(ISBLANK(D9), NOT(AND(G9&gt;0, F9&gt;0))), "", INT(('⚙️ 全局核算参数 (Config)'!$B$32 / G9)) * F9)</f>
      </c>
      <c r="P9" s="50">
        <f>IF(OR(ISBLANK(D9), NOT(AND(G9&gt;0, F9&gt;0))), "", INT(('⚙️ 全局核算参数 (Config)'!$B$34 / G9)) * F9)</f>
      </c>
      <c r="Q9" s="51">
        <f>IF(ISBLANK(D9), "", IF(M9&lt;'⚙️ 全局核算参数 (Config)'!$B$14, "🚨 穿透红线", IF(M9&gt;=0.25, "💎 高毛利款", "✅ 利润健康")))</f>
      </c>
    </row>
    <row r="10" ht="24" customHeight="1" spans="1:17" x14ac:dyDescent="0.25">
      <c r="A10" s="39"/>
      <c r="B10" s="40"/>
      <c r="C10" s="41"/>
      <c r="D10" s="42"/>
      <c r="E10" s="43"/>
      <c r="F10" s="43"/>
      <c r="G10" s="44"/>
      <c r="H10" s="45"/>
      <c r="I10" s="46"/>
      <c r="J10" s="39"/>
      <c r="K10" s="39"/>
      <c r="L10" s="47">
        <f>IF(ISBLANK(D10), "", '⚙️ 全局核算参数 (Config)'!$C$21)</f>
      </c>
      <c r="M10" s="48">
        <f>IF(ISBLANK(D10), "", IF(ISBLANK(I10), '⚙️ 全局核算参数 (Config)'!$B$13, I10))</f>
      </c>
      <c r="N10" s="49">
        <f>IF(ISBLANK(D10), "", ROUND(((D10 * (1 + M10) + L10) / '⚙️ 全局核算参数 (Config)'!$C$4), 2))</f>
      </c>
      <c r="O10" s="50">
        <f>IF(OR(ISBLANK(D10), NOT(AND(G10&gt;0, F10&gt;0))), "", INT(('⚙️ 全局核算参数 (Config)'!$B$32 / G10)) * F10)</f>
      </c>
      <c r="P10" s="50">
        <f>IF(OR(ISBLANK(D10), NOT(AND(G10&gt;0, F10&gt;0))), "", INT(('⚙️ 全局核算参数 (Config)'!$B$34 / G10)) * F10)</f>
      </c>
      <c r="Q10" s="51">
        <f>IF(ISBLANK(D10), "", IF(M10&lt;'⚙️ 全局核算参数 (Config)'!$B$14, "🚨 穿透红线", IF(M10&gt;=0.25, "💎 高毛利款", "✅ 利润健康")))</f>
      </c>
    </row>
    <row r="11" ht="24" customHeight="1" spans="1:17" x14ac:dyDescent="0.25">
      <c r="A11" s="52"/>
      <c r="B11" s="53"/>
      <c r="C11" s="54"/>
      <c r="D11" s="55"/>
      <c r="E11" s="56"/>
      <c r="F11" s="56"/>
      <c r="G11" s="57"/>
      <c r="H11" s="58"/>
      <c r="I11" s="59"/>
      <c r="J11" s="52"/>
      <c r="K11" s="52"/>
      <c r="L11" s="47">
        <f>IF(ISBLANK(D11), "", '⚙️ 全局核算参数 (Config)'!$C$21)</f>
      </c>
      <c r="M11" s="48">
        <f>IF(ISBLANK(D11), "", IF(ISBLANK(I11), '⚙️ 全局核算参数 (Config)'!$B$13, I11))</f>
      </c>
      <c r="N11" s="49">
        <f>IF(ISBLANK(D11), "", ROUND(((D11 * (1 + M11) + L11) / '⚙️ 全局核算参数 (Config)'!$C$4), 2))</f>
      </c>
      <c r="O11" s="50">
        <f>IF(OR(ISBLANK(D11), NOT(AND(G11&gt;0, F11&gt;0))), "", INT(('⚙️ 全局核算参数 (Config)'!$B$32 / G11)) * F11)</f>
      </c>
      <c r="P11" s="50">
        <f>IF(OR(ISBLANK(D11), NOT(AND(G11&gt;0, F11&gt;0))), "", INT(('⚙️ 全局核算参数 (Config)'!$B$34 / G11)) * F11)</f>
      </c>
      <c r="Q11" s="51">
        <f>IF(ISBLANK(D11), "", IF(M11&lt;'⚙️ 全局核算参数 (Config)'!$B$14, "🚨 穿透红线", IF(M11&gt;=0.25, "💎 高毛利款", "✅ 利润健康")))</f>
      </c>
    </row>
    <row r="12" ht="24" customHeight="1" spans="1:17" x14ac:dyDescent="0.25">
      <c r="A12" s="39"/>
      <c r="B12" s="40"/>
      <c r="C12" s="41"/>
      <c r="D12" s="42"/>
      <c r="E12" s="43"/>
      <c r="F12" s="43"/>
      <c r="G12" s="44"/>
      <c r="H12" s="45"/>
      <c r="I12" s="46"/>
      <c r="J12" s="39"/>
      <c r="K12" s="39"/>
      <c r="L12" s="47">
        <f>IF(ISBLANK(D12), "", '⚙️ 全局核算参数 (Config)'!$C$21)</f>
      </c>
      <c r="M12" s="48">
        <f>IF(ISBLANK(D12), "", IF(ISBLANK(I12), '⚙️ 全局核算参数 (Config)'!$B$13, I12))</f>
      </c>
      <c r="N12" s="49">
        <f>IF(ISBLANK(D12), "", ROUND(((D12 * (1 + M12) + L12) / '⚙️ 全局核算参数 (Config)'!$C$4), 2))</f>
      </c>
      <c r="O12" s="50">
        <f>IF(OR(ISBLANK(D12), NOT(AND(G12&gt;0, F12&gt;0))), "", INT(('⚙️ 全局核算参数 (Config)'!$B$32 / G12)) * F12)</f>
      </c>
      <c r="P12" s="50">
        <f>IF(OR(ISBLANK(D12), NOT(AND(G12&gt;0, F12&gt;0))), "", INT(('⚙️ 全局核算参数 (Config)'!$B$34 / G12)) * F12)</f>
      </c>
      <c r="Q12" s="51">
        <f>IF(ISBLANK(D12), "", IF(M12&lt;'⚙️ 全局核算参数 (Config)'!$B$14, "🚨 穿透红线", IF(M12&gt;=0.25, "💎 高毛利款", "✅ 利润健康")))</f>
      </c>
    </row>
    <row r="13" ht="24" customHeight="1" spans="1:17" x14ac:dyDescent="0.25">
      <c r="A13" s="52"/>
      <c r="B13" s="53"/>
      <c r="C13" s="54"/>
      <c r="D13" s="55"/>
      <c r="E13" s="56"/>
      <c r="F13" s="56"/>
      <c r="G13" s="57"/>
      <c r="H13" s="58"/>
      <c r="I13" s="59"/>
      <c r="J13" s="52"/>
      <c r="K13" s="52"/>
      <c r="L13" s="47">
        <f>IF(ISBLANK(D13), "", '⚙️ 全局核算参数 (Config)'!$C$21)</f>
      </c>
      <c r="M13" s="48">
        <f>IF(ISBLANK(D13), "", IF(ISBLANK(I13), '⚙️ 全局核算参数 (Config)'!$B$13, I13))</f>
      </c>
      <c r="N13" s="49">
        <f>IF(ISBLANK(D13), "", ROUND(((D13 * (1 + M13) + L13) / '⚙️ 全局核算参数 (Config)'!$C$4), 2))</f>
      </c>
      <c r="O13" s="50">
        <f>IF(OR(ISBLANK(D13), NOT(AND(G13&gt;0, F13&gt;0))), "", INT(('⚙️ 全局核算参数 (Config)'!$B$32 / G13)) * F13)</f>
      </c>
      <c r="P13" s="50">
        <f>IF(OR(ISBLANK(D13), NOT(AND(G13&gt;0, F13&gt;0))), "", INT(('⚙️ 全局核算参数 (Config)'!$B$34 / G13)) * F13)</f>
      </c>
      <c r="Q13" s="51">
        <f>IF(ISBLANK(D13), "", IF(M13&lt;'⚙️ 全局核算参数 (Config)'!$B$14, "🚨 穿透红线", IF(M13&gt;=0.25, "💎 高毛利款", "✅ 利润健康")))</f>
      </c>
    </row>
    <row r="14" ht="24" customHeight="1" spans="1:17" x14ac:dyDescent="0.25">
      <c r="A14" s="39"/>
      <c r="B14" s="40"/>
      <c r="C14" s="41"/>
      <c r="D14" s="42"/>
      <c r="E14" s="43"/>
      <c r="F14" s="43"/>
      <c r="G14" s="44"/>
      <c r="H14" s="45"/>
      <c r="I14" s="46"/>
      <c r="J14" s="39"/>
      <c r="K14" s="39"/>
      <c r="L14" s="47">
        <f>IF(ISBLANK(D14), "", '⚙️ 全局核算参数 (Config)'!$C$21)</f>
      </c>
      <c r="M14" s="48">
        <f>IF(ISBLANK(D14), "", IF(ISBLANK(I14), '⚙️ 全局核算参数 (Config)'!$B$13, I14))</f>
      </c>
      <c r="N14" s="49">
        <f>IF(ISBLANK(D14), "", ROUND(((D14 * (1 + M14) + L14) / '⚙️ 全局核算参数 (Config)'!$C$4), 2))</f>
      </c>
      <c r="O14" s="50">
        <f>IF(OR(ISBLANK(D14), NOT(AND(G14&gt;0, F14&gt;0))), "", INT(('⚙️ 全局核算参数 (Config)'!$B$32 / G14)) * F14)</f>
      </c>
      <c r="P14" s="50">
        <f>IF(OR(ISBLANK(D14), NOT(AND(G14&gt;0, F14&gt;0))), "", INT(('⚙️ 全局核算参数 (Config)'!$B$34 / G14)) * F14)</f>
      </c>
      <c r="Q14" s="51">
        <f>IF(ISBLANK(D14), "", IF(M14&lt;'⚙️ 全局核算参数 (Config)'!$B$14, "🚨 穿透红线", IF(M14&gt;=0.25, "💎 高毛利款", "✅ 利润健康")))</f>
      </c>
    </row>
    <row r="15" ht="24" customHeight="1" spans="1:17" x14ac:dyDescent="0.25">
      <c r="A15" s="52"/>
      <c r="B15" s="53"/>
      <c r="C15" s="54"/>
      <c r="D15" s="55"/>
      <c r="E15" s="56"/>
      <c r="F15" s="56"/>
      <c r="G15" s="57"/>
      <c r="H15" s="58"/>
      <c r="I15" s="59"/>
      <c r="J15" s="52"/>
      <c r="K15" s="52"/>
      <c r="L15" s="47">
        <f>IF(ISBLANK(D15), "", '⚙️ 全局核算参数 (Config)'!$C$21)</f>
      </c>
      <c r="M15" s="48">
        <f>IF(ISBLANK(D15), "", IF(ISBLANK(I15), '⚙️ 全局核算参数 (Config)'!$B$13, I15))</f>
      </c>
      <c r="N15" s="49">
        <f>IF(ISBLANK(D15), "", ROUND(((D15 * (1 + M15) + L15) / '⚙️ 全局核算参数 (Config)'!$C$4), 2))</f>
      </c>
      <c r="O15" s="50">
        <f>IF(OR(ISBLANK(D15), NOT(AND(G15&gt;0, F15&gt;0))), "", INT(('⚙️ 全局核算参数 (Config)'!$B$32 / G15)) * F15)</f>
      </c>
      <c r="P15" s="50">
        <f>IF(OR(ISBLANK(D15), NOT(AND(G15&gt;0, F15&gt;0))), "", INT(('⚙️ 全局核算参数 (Config)'!$B$34 / G15)) * F15)</f>
      </c>
      <c r="Q15" s="51">
        <f>IF(ISBLANK(D15), "", IF(M15&lt;'⚙️ 全局核算参数 (Config)'!$B$14, "🚨 穿透红线", IF(M15&gt;=0.25, "💎 高毛利款", "✅ 利润健康")))</f>
      </c>
    </row>
    <row r="16" ht="24" customHeight="1" spans="1:17" x14ac:dyDescent="0.25">
      <c r="A16" s="39"/>
      <c r="B16" s="40"/>
      <c r="C16" s="41"/>
      <c r="D16" s="42"/>
      <c r="E16" s="43"/>
      <c r="F16" s="43"/>
      <c r="G16" s="44"/>
      <c r="H16" s="45"/>
      <c r="I16" s="46"/>
      <c r="J16" s="39"/>
      <c r="K16" s="39"/>
      <c r="L16" s="47">
        <f>IF(ISBLANK(D16), "", '⚙️ 全局核算参数 (Config)'!$C$21)</f>
      </c>
      <c r="M16" s="48">
        <f>IF(ISBLANK(D16), "", IF(ISBLANK(I16), '⚙️ 全局核算参数 (Config)'!$B$13, I16))</f>
      </c>
      <c r="N16" s="49">
        <f>IF(ISBLANK(D16), "", ROUND(((D16 * (1 + M16) + L16) / '⚙️ 全局核算参数 (Config)'!$C$4), 2))</f>
      </c>
      <c r="O16" s="50">
        <f>IF(OR(ISBLANK(D16), NOT(AND(G16&gt;0, F16&gt;0))), "", INT(('⚙️ 全局核算参数 (Config)'!$B$32 / G16)) * F16)</f>
      </c>
      <c r="P16" s="50">
        <f>IF(OR(ISBLANK(D16), NOT(AND(G16&gt;0, F16&gt;0))), "", INT(('⚙️ 全局核算参数 (Config)'!$B$34 / G16)) * F16)</f>
      </c>
      <c r="Q16" s="51">
        <f>IF(ISBLANK(D16), "", IF(M16&lt;'⚙️ 全局核算参数 (Config)'!$B$14, "🚨 穿透红线", IF(M16&gt;=0.25, "💎 高毛利款", "✅ 利润健康")))</f>
      </c>
    </row>
    <row r="17" ht="24" customHeight="1" spans="1:17" x14ac:dyDescent="0.25">
      <c r="A17" s="52"/>
      <c r="B17" s="53"/>
      <c r="C17" s="54"/>
      <c r="D17" s="55"/>
      <c r="E17" s="56"/>
      <c r="F17" s="56"/>
      <c r="G17" s="57"/>
      <c r="H17" s="58"/>
      <c r="I17" s="59"/>
      <c r="J17" s="52"/>
      <c r="K17" s="52"/>
      <c r="L17" s="47">
        <f>IF(ISBLANK(D17), "", '⚙️ 全局核算参数 (Config)'!$C$21)</f>
      </c>
      <c r="M17" s="48">
        <f>IF(ISBLANK(D17), "", IF(ISBLANK(I17), '⚙️ 全局核算参数 (Config)'!$B$13, I17))</f>
      </c>
      <c r="N17" s="49">
        <f>IF(ISBLANK(D17), "", ROUND(((D17 * (1 + M17) + L17) / '⚙️ 全局核算参数 (Config)'!$C$4), 2))</f>
      </c>
      <c r="O17" s="50">
        <f>IF(OR(ISBLANK(D17), NOT(AND(G17&gt;0, F17&gt;0))), "", INT(('⚙️ 全局核算参数 (Config)'!$B$32 / G17)) * F17)</f>
      </c>
      <c r="P17" s="50">
        <f>IF(OR(ISBLANK(D17), NOT(AND(G17&gt;0, F17&gt;0))), "", INT(('⚙️ 全局核算参数 (Config)'!$B$34 / G17)) * F17)</f>
      </c>
      <c r="Q17" s="51">
        <f>IF(ISBLANK(D17), "", IF(M17&lt;'⚙️ 全局核算参数 (Config)'!$B$14, "🚨 穿透红线", IF(M17&gt;=0.25, "💎 高毛利款", "✅ 利润健康")))</f>
      </c>
    </row>
    <row r="18" ht="24" customHeight="1" spans="1:17" x14ac:dyDescent="0.25">
      <c r="A18" s="39"/>
      <c r="B18" s="40"/>
      <c r="C18" s="41"/>
      <c r="D18" s="42"/>
      <c r="E18" s="43"/>
      <c r="F18" s="43"/>
      <c r="G18" s="44"/>
      <c r="H18" s="45"/>
      <c r="I18" s="46"/>
      <c r="J18" s="39"/>
      <c r="K18" s="39"/>
      <c r="L18" s="47">
        <f>IF(ISBLANK(D18), "", '⚙️ 全局核算参数 (Config)'!$C$21)</f>
      </c>
      <c r="M18" s="48">
        <f>IF(ISBLANK(D18), "", IF(ISBLANK(I18), '⚙️ 全局核算参数 (Config)'!$B$13, I18))</f>
      </c>
      <c r="N18" s="49">
        <f>IF(ISBLANK(D18), "", ROUND(((D18 * (1 + M18) + L18) / '⚙️ 全局核算参数 (Config)'!$C$4), 2))</f>
      </c>
      <c r="O18" s="50">
        <f>IF(OR(ISBLANK(D18), NOT(AND(G18&gt;0, F18&gt;0))), "", INT(('⚙️ 全局核算参数 (Config)'!$B$32 / G18)) * F18)</f>
      </c>
      <c r="P18" s="50">
        <f>IF(OR(ISBLANK(D18), NOT(AND(G18&gt;0, F18&gt;0))), "", INT(('⚙️ 全局核算参数 (Config)'!$B$34 / G18)) * F18)</f>
      </c>
      <c r="Q18" s="51">
        <f>IF(ISBLANK(D18), "", IF(M18&lt;'⚙️ 全局核算参数 (Config)'!$B$14, "🚨 穿透红线", IF(M18&gt;=0.25, "💎 高毛利款", "✅ 利润健康")))</f>
      </c>
    </row>
    <row r="19" ht="24" customHeight="1" spans="1:17" x14ac:dyDescent="0.25">
      <c r="A19" s="52"/>
      <c r="B19" s="53"/>
      <c r="C19" s="54"/>
      <c r="D19" s="55"/>
      <c r="E19" s="56"/>
      <c r="F19" s="56"/>
      <c r="G19" s="57"/>
      <c r="H19" s="58"/>
      <c r="I19" s="59"/>
      <c r="J19" s="52"/>
      <c r="K19" s="52"/>
      <c r="L19" s="47">
        <f>IF(ISBLANK(D19), "", '⚙️ 全局核算参数 (Config)'!$C$21)</f>
      </c>
      <c r="M19" s="48">
        <f>IF(ISBLANK(D19), "", IF(ISBLANK(I19), '⚙️ 全局核算参数 (Config)'!$B$13, I19))</f>
      </c>
      <c r="N19" s="49">
        <f>IF(ISBLANK(D19), "", ROUND(((D19 * (1 + M19) + L19) / '⚙️ 全局核算参数 (Config)'!$C$4), 2))</f>
      </c>
      <c r="O19" s="50">
        <f>IF(OR(ISBLANK(D19), NOT(AND(G19&gt;0, F19&gt;0))), "", INT(('⚙️ 全局核算参数 (Config)'!$B$32 / G19)) * F19)</f>
      </c>
      <c r="P19" s="50">
        <f>IF(OR(ISBLANK(D19), NOT(AND(G19&gt;0, F19&gt;0))), "", INT(('⚙️ 全局核算参数 (Config)'!$B$34 / G19)) * F19)</f>
      </c>
      <c r="Q19" s="51">
        <f>IF(ISBLANK(D19), "", IF(M19&lt;'⚙️ 全局核算参数 (Config)'!$B$14, "🚨 穿透红线", IF(M19&gt;=0.25, "💎 高毛利款", "✅ 利润健康")))</f>
      </c>
    </row>
    <row r="20" ht="24" customHeight="1" spans="1:17" x14ac:dyDescent="0.25">
      <c r="A20" s="39"/>
      <c r="B20" s="40"/>
      <c r="C20" s="41"/>
      <c r="D20" s="42"/>
      <c r="E20" s="43"/>
      <c r="F20" s="43"/>
      <c r="G20" s="44"/>
      <c r="H20" s="45"/>
      <c r="I20" s="46"/>
      <c r="J20" s="39"/>
      <c r="K20" s="39"/>
      <c r="L20" s="47">
        <f>IF(ISBLANK(D20), "", '⚙️ 全局核算参数 (Config)'!$C$21)</f>
      </c>
      <c r="M20" s="48">
        <f>IF(ISBLANK(D20), "", IF(ISBLANK(I20), '⚙️ 全局核算参数 (Config)'!$B$13, I20))</f>
      </c>
      <c r="N20" s="49">
        <f>IF(ISBLANK(D20), "", ROUND(((D20 * (1 + M20) + L20) / '⚙️ 全局核算参数 (Config)'!$C$4), 2))</f>
      </c>
      <c r="O20" s="50">
        <f>IF(OR(ISBLANK(D20), NOT(AND(G20&gt;0, F20&gt;0))), "", INT(('⚙️ 全局核算参数 (Config)'!$B$32 / G20)) * F20)</f>
      </c>
      <c r="P20" s="50">
        <f>IF(OR(ISBLANK(D20), NOT(AND(G20&gt;0, F20&gt;0))), "", INT(('⚙️ 全局核算参数 (Config)'!$B$34 / G20)) * F20)</f>
      </c>
      <c r="Q20" s="51">
        <f>IF(ISBLANK(D20), "", IF(M20&lt;'⚙️ 全局核算参数 (Config)'!$B$14, "🚨 穿透红线", IF(M20&gt;=0.25, "💎 高毛利款", "✅ 利润健康")))</f>
      </c>
    </row>
    <row r="21" ht="24" customHeight="1" spans="1:17" x14ac:dyDescent="0.25">
      <c r="A21" s="52"/>
      <c r="B21" s="53"/>
      <c r="C21" s="54"/>
      <c r="D21" s="55"/>
      <c r="E21" s="56"/>
      <c r="F21" s="56"/>
      <c r="G21" s="57"/>
      <c r="H21" s="58"/>
      <c r="I21" s="59"/>
      <c r="J21" s="52"/>
      <c r="K21" s="52"/>
      <c r="L21" s="47">
        <f>IF(ISBLANK(D21), "", '⚙️ 全局核算参数 (Config)'!$C$21)</f>
      </c>
      <c r="M21" s="48">
        <f>IF(ISBLANK(D21), "", IF(ISBLANK(I21), '⚙️ 全局核算参数 (Config)'!$B$13, I21))</f>
      </c>
      <c r="N21" s="49">
        <f>IF(ISBLANK(D21), "", ROUND(((D21 * (1 + M21) + L21) / '⚙️ 全局核算参数 (Config)'!$C$4), 2))</f>
      </c>
      <c r="O21" s="50">
        <f>IF(OR(ISBLANK(D21), NOT(AND(G21&gt;0, F21&gt;0))), "", INT(('⚙️ 全局核算参数 (Config)'!$B$32 / G21)) * F21)</f>
      </c>
      <c r="P21" s="50">
        <f>IF(OR(ISBLANK(D21), NOT(AND(G21&gt;0, F21&gt;0))), "", INT(('⚙️ 全局核算参数 (Config)'!$B$34 / G21)) * F21)</f>
      </c>
      <c r="Q21" s="51">
        <f>IF(ISBLANK(D21), "", IF(M21&lt;'⚙️ 全局核算参数 (Config)'!$B$14, "🚨 穿透红线", IF(M21&gt;=0.25, "💎 高毛利款", "✅ 利润健康")))</f>
      </c>
    </row>
    <row r="22" ht="24" customHeight="1" spans="1:17" x14ac:dyDescent="0.25">
      <c r="A22" s="39"/>
      <c r="B22" s="40"/>
      <c r="C22" s="41"/>
      <c r="D22" s="42"/>
      <c r="E22" s="43"/>
      <c r="F22" s="43"/>
      <c r="G22" s="44"/>
      <c r="H22" s="45"/>
      <c r="I22" s="46"/>
      <c r="J22" s="39"/>
      <c r="K22" s="39"/>
      <c r="L22" s="47">
        <f>IF(ISBLANK(D22), "", '⚙️ 全局核算参数 (Config)'!$C$21)</f>
      </c>
      <c r="M22" s="48">
        <f>IF(ISBLANK(D22), "", IF(ISBLANK(I22), '⚙️ 全局核算参数 (Config)'!$B$13, I22))</f>
      </c>
      <c r="N22" s="49">
        <f>IF(ISBLANK(D22), "", ROUND(((D22 * (1 + M22) + L22) / '⚙️ 全局核算参数 (Config)'!$C$4), 2))</f>
      </c>
      <c r="O22" s="50">
        <f>IF(OR(ISBLANK(D22), NOT(AND(G22&gt;0, F22&gt;0))), "", INT(('⚙️ 全局核算参数 (Config)'!$B$32 / G22)) * F22)</f>
      </c>
      <c r="P22" s="50">
        <f>IF(OR(ISBLANK(D22), NOT(AND(G22&gt;0, F22&gt;0))), "", INT(('⚙️ 全局核算参数 (Config)'!$B$34 / G22)) * F22)</f>
      </c>
      <c r="Q22" s="51">
        <f>IF(ISBLANK(D22), "", IF(M22&lt;'⚙️ 全局核算参数 (Config)'!$B$14, "🚨 穿透红线", IF(M22&gt;=0.25, "💎 高毛利款", "✅ 利润健康")))</f>
      </c>
    </row>
    <row r="23" ht="24" customHeight="1" spans="1:17" x14ac:dyDescent="0.25">
      <c r="A23" s="52"/>
      <c r="B23" s="53"/>
      <c r="C23" s="54"/>
      <c r="D23" s="55"/>
      <c r="E23" s="56"/>
      <c r="F23" s="56"/>
      <c r="G23" s="57"/>
      <c r="H23" s="58"/>
      <c r="I23" s="59"/>
      <c r="J23" s="52"/>
      <c r="K23" s="52"/>
      <c r="L23" s="47">
        <f>IF(ISBLANK(D23), "", '⚙️ 全局核算参数 (Config)'!$C$21)</f>
      </c>
      <c r="M23" s="48">
        <f>IF(ISBLANK(D23), "", IF(ISBLANK(I23), '⚙️ 全局核算参数 (Config)'!$B$13, I23))</f>
      </c>
      <c r="N23" s="49">
        <f>IF(ISBLANK(D23), "", ROUND(((D23 * (1 + M23) + L23) / '⚙️ 全局核算参数 (Config)'!$C$4), 2))</f>
      </c>
      <c r="O23" s="50">
        <f>IF(OR(ISBLANK(D23), NOT(AND(G23&gt;0, F23&gt;0))), "", INT(('⚙️ 全局核算参数 (Config)'!$B$32 / G23)) * F23)</f>
      </c>
      <c r="P23" s="50">
        <f>IF(OR(ISBLANK(D23), NOT(AND(G23&gt;0, F23&gt;0))), "", INT(('⚙️ 全局核算参数 (Config)'!$B$34 / G23)) * F23)</f>
      </c>
      <c r="Q23" s="51">
        <f>IF(ISBLANK(D23), "", IF(M23&lt;'⚙️ 全局核算参数 (Config)'!$B$14, "🚨 穿透红线", IF(M23&gt;=0.25, "💎 高毛利款", "✅ 利润健康")))</f>
      </c>
    </row>
    <row r="24" ht="24" customHeight="1" spans="1:17" x14ac:dyDescent="0.25">
      <c r="A24" s="39"/>
      <c r="B24" s="40"/>
      <c r="C24" s="41"/>
      <c r="D24" s="42"/>
      <c r="E24" s="43"/>
      <c r="F24" s="43"/>
      <c r="G24" s="44"/>
      <c r="H24" s="45"/>
      <c r="I24" s="46"/>
      <c r="J24" s="39"/>
      <c r="K24" s="39"/>
      <c r="L24" s="47">
        <f>IF(ISBLANK(D24), "", '⚙️ 全局核算参数 (Config)'!$C$21)</f>
      </c>
      <c r="M24" s="48">
        <f>IF(ISBLANK(D24), "", IF(ISBLANK(I24), '⚙️ 全局核算参数 (Config)'!$B$13, I24))</f>
      </c>
      <c r="N24" s="49">
        <f>IF(ISBLANK(D24), "", ROUND(((D24 * (1 + M24) + L24) / '⚙️ 全局核算参数 (Config)'!$C$4), 2))</f>
      </c>
      <c r="O24" s="50">
        <f>IF(OR(ISBLANK(D24), NOT(AND(G24&gt;0, F24&gt;0))), "", INT(('⚙️ 全局核算参数 (Config)'!$B$32 / G24)) * F24)</f>
      </c>
      <c r="P24" s="50">
        <f>IF(OR(ISBLANK(D24), NOT(AND(G24&gt;0, F24&gt;0))), "", INT(('⚙️ 全局核算参数 (Config)'!$B$34 / G24)) * F24)</f>
      </c>
      <c r="Q24" s="51">
        <f>IF(ISBLANK(D24), "", IF(M24&lt;'⚙️ 全局核算参数 (Config)'!$B$14, "🚨 穿透红线", IF(M24&gt;=0.25, "💎 高毛利款", "✅ 利润健康")))</f>
      </c>
    </row>
    <row r="25" ht="24" customHeight="1" spans="1:17" x14ac:dyDescent="0.25">
      <c r="A25" s="52"/>
      <c r="B25" s="53"/>
      <c r="C25" s="54"/>
      <c r="D25" s="55"/>
      <c r="E25" s="56"/>
      <c r="F25" s="56"/>
      <c r="G25" s="57"/>
      <c r="H25" s="58"/>
      <c r="I25" s="59"/>
      <c r="J25" s="52"/>
      <c r="K25" s="52"/>
      <c r="L25" s="47">
        <f>IF(ISBLANK(D25), "", '⚙️ 全局核算参数 (Config)'!$C$21)</f>
      </c>
      <c r="M25" s="48">
        <f>IF(ISBLANK(D25), "", IF(ISBLANK(I25), '⚙️ 全局核算参数 (Config)'!$B$13, I25))</f>
      </c>
      <c r="N25" s="49">
        <f>IF(ISBLANK(D25), "", ROUND(((D25 * (1 + M25) + L25) / '⚙️ 全局核算参数 (Config)'!$C$4), 2))</f>
      </c>
      <c r="O25" s="50">
        <f>IF(OR(ISBLANK(D25), NOT(AND(G25&gt;0, F25&gt;0))), "", INT(('⚙️ 全局核算参数 (Config)'!$B$32 / G25)) * F25)</f>
      </c>
      <c r="P25" s="50">
        <f>IF(OR(ISBLANK(D25), NOT(AND(G25&gt;0, F25&gt;0))), "", INT(('⚙️ 全局核算参数 (Config)'!$B$34 / G25)) * F25)</f>
      </c>
      <c r="Q25" s="51">
        <f>IF(ISBLANK(D25), "", IF(M25&lt;'⚙️ 全局核算参数 (Config)'!$B$14, "🚨 穿透红线", IF(M25&gt;=0.25, "💎 高毛利款", "✅ 利润健康")))</f>
      </c>
    </row>
    <row r="26" ht="24" customHeight="1" spans="1:17" x14ac:dyDescent="0.25">
      <c r="A26" s="39"/>
      <c r="B26" s="40"/>
      <c r="C26" s="41"/>
      <c r="D26" s="42"/>
      <c r="E26" s="43"/>
      <c r="F26" s="43"/>
      <c r="G26" s="44"/>
      <c r="H26" s="45"/>
      <c r="I26" s="46"/>
      <c r="J26" s="39"/>
      <c r="K26" s="39"/>
      <c r="L26" s="47">
        <f>IF(ISBLANK(D26), "", '⚙️ 全局核算参数 (Config)'!$C$21)</f>
      </c>
      <c r="M26" s="48">
        <f>IF(ISBLANK(D26), "", IF(ISBLANK(I26), '⚙️ 全局核算参数 (Config)'!$B$13, I26))</f>
      </c>
      <c r="N26" s="49">
        <f>IF(ISBLANK(D26), "", ROUND(((D26 * (1 + M26) + L26) / '⚙️ 全局核算参数 (Config)'!$C$4), 2))</f>
      </c>
      <c r="O26" s="50">
        <f>IF(OR(ISBLANK(D26), NOT(AND(G26&gt;0, F26&gt;0))), "", INT(('⚙️ 全局核算参数 (Config)'!$B$32 / G26)) * F26)</f>
      </c>
      <c r="P26" s="50">
        <f>IF(OR(ISBLANK(D26), NOT(AND(G26&gt;0, F26&gt;0))), "", INT(('⚙️ 全局核算参数 (Config)'!$B$34 / G26)) * F26)</f>
      </c>
      <c r="Q26" s="51">
        <f>IF(ISBLANK(D26), "", IF(M26&lt;'⚙️ 全局核算参数 (Config)'!$B$14, "🚨 穿透红线", IF(M26&gt;=0.25, "💎 高毛利款", "✅ 利润健康")))</f>
      </c>
    </row>
    <row r="27" ht="24" customHeight="1" spans="1:17" x14ac:dyDescent="0.25">
      <c r="A27" s="52"/>
      <c r="B27" s="53"/>
      <c r="C27" s="54"/>
      <c r="D27" s="55"/>
      <c r="E27" s="56"/>
      <c r="F27" s="56"/>
      <c r="G27" s="57"/>
      <c r="H27" s="58"/>
      <c r="I27" s="59"/>
      <c r="J27" s="52"/>
      <c r="K27" s="52"/>
      <c r="L27" s="47">
        <f>IF(ISBLANK(D27), "", '⚙️ 全局核算参数 (Config)'!$C$21)</f>
      </c>
      <c r="M27" s="48">
        <f>IF(ISBLANK(D27), "", IF(ISBLANK(I27), '⚙️ 全局核算参数 (Config)'!$B$13, I27))</f>
      </c>
      <c r="N27" s="49">
        <f>IF(ISBLANK(D27), "", ROUND(((D27 * (1 + M27) + L27) / '⚙️ 全局核算参数 (Config)'!$C$4), 2))</f>
      </c>
      <c r="O27" s="50">
        <f>IF(OR(ISBLANK(D27), NOT(AND(G27&gt;0, F27&gt;0))), "", INT(('⚙️ 全局核算参数 (Config)'!$B$32 / G27)) * F27)</f>
      </c>
      <c r="P27" s="50">
        <f>IF(OR(ISBLANK(D27), NOT(AND(G27&gt;0, F27&gt;0))), "", INT(('⚙️ 全局核算参数 (Config)'!$B$34 / G27)) * F27)</f>
      </c>
      <c r="Q27" s="51">
        <f>IF(ISBLANK(D27), "", IF(M27&lt;'⚙️ 全局核算参数 (Config)'!$B$14, "🚨 穿透红线", IF(M27&gt;=0.25, "💎 高毛利款", "✅ 利润健康")))</f>
      </c>
    </row>
    <row r="28" ht="24" customHeight="1" spans="1:17" x14ac:dyDescent="0.25">
      <c r="A28" s="39"/>
      <c r="B28" s="40"/>
      <c r="C28" s="41"/>
      <c r="D28" s="42"/>
      <c r="E28" s="43"/>
      <c r="F28" s="43"/>
      <c r="G28" s="44"/>
      <c r="H28" s="45"/>
      <c r="I28" s="46"/>
      <c r="J28" s="39"/>
      <c r="K28" s="39"/>
      <c r="L28" s="47">
        <f>IF(ISBLANK(D28), "", '⚙️ 全局核算参数 (Config)'!$C$21)</f>
      </c>
      <c r="M28" s="48">
        <f>IF(ISBLANK(D28), "", IF(ISBLANK(I28), '⚙️ 全局核算参数 (Config)'!$B$13, I28))</f>
      </c>
      <c r="N28" s="49">
        <f>IF(ISBLANK(D28), "", ROUND(((D28 * (1 + M28) + L28) / '⚙️ 全局核算参数 (Config)'!$C$4), 2))</f>
      </c>
      <c r="O28" s="50">
        <f>IF(OR(ISBLANK(D28), NOT(AND(G28&gt;0, F28&gt;0))), "", INT(('⚙️ 全局核算参数 (Config)'!$B$32 / G28)) * F28)</f>
      </c>
      <c r="P28" s="50">
        <f>IF(OR(ISBLANK(D28), NOT(AND(G28&gt;0, F28&gt;0))), "", INT(('⚙️ 全局核算参数 (Config)'!$B$34 / G28)) * F28)</f>
      </c>
      <c r="Q28" s="51">
        <f>IF(ISBLANK(D28), "", IF(M28&lt;'⚙️ 全局核算参数 (Config)'!$B$14, "🚨 穿透红线", IF(M28&gt;=0.25, "💎 高毛利款", "✅ 利润健康")))</f>
      </c>
    </row>
    <row r="29" ht="24" customHeight="1" spans="1:17" x14ac:dyDescent="0.25">
      <c r="A29" s="52"/>
      <c r="B29" s="53"/>
      <c r="C29" s="54"/>
      <c r="D29" s="55"/>
      <c r="E29" s="56"/>
      <c r="F29" s="56"/>
      <c r="G29" s="57"/>
      <c r="H29" s="58"/>
      <c r="I29" s="59"/>
      <c r="J29" s="52"/>
      <c r="K29" s="52"/>
      <c r="L29" s="47">
        <f>IF(ISBLANK(D29), "", '⚙️ 全局核算参数 (Config)'!$C$21)</f>
      </c>
      <c r="M29" s="48">
        <f>IF(ISBLANK(D29), "", IF(ISBLANK(I29), '⚙️ 全局核算参数 (Config)'!$B$13, I29))</f>
      </c>
      <c r="N29" s="49">
        <f>IF(ISBLANK(D29), "", ROUND(((D29 * (1 + M29) + L29) / '⚙️ 全局核算参数 (Config)'!$C$4), 2))</f>
      </c>
      <c r="O29" s="50">
        <f>IF(OR(ISBLANK(D29), NOT(AND(G29&gt;0, F29&gt;0))), "", INT(('⚙️ 全局核算参数 (Config)'!$B$32 / G29)) * F29)</f>
      </c>
      <c r="P29" s="50">
        <f>IF(OR(ISBLANK(D29), NOT(AND(G29&gt;0, F29&gt;0))), "", INT(('⚙️ 全局核算参数 (Config)'!$B$34 / G29)) * F29)</f>
      </c>
      <c r="Q29" s="51">
        <f>IF(ISBLANK(D29), "", IF(M29&lt;'⚙️ 全局核算参数 (Config)'!$B$14, "🚨 穿透红线", IF(M29&gt;=0.25, "💎 高毛利款", "✅ 利润健康")))</f>
      </c>
    </row>
    <row r="30" ht="24" customHeight="1" spans="1:17" x14ac:dyDescent="0.25">
      <c r="A30" s="39"/>
      <c r="B30" s="40"/>
      <c r="C30" s="41"/>
      <c r="D30" s="42"/>
      <c r="E30" s="43"/>
      <c r="F30" s="43"/>
      <c r="G30" s="44"/>
      <c r="H30" s="45"/>
      <c r="I30" s="46"/>
      <c r="J30" s="39"/>
      <c r="K30" s="39"/>
      <c r="L30" s="47">
        <f>IF(ISBLANK(D30), "", '⚙️ 全局核算参数 (Config)'!$C$21)</f>
      </c>
      <c r="M30" s="48">
        <f>IF(ISBLANK(D30), "", IF(ISBLANK(I30), '⚙️ 全局核算参数 (Config)'!$B$13, I30))</f>
      </c>
      <c r="N30" s="49">
        <f>IF(ISBLANK(D30), "", ROUND(((D30 * (1 + M30) + L30) / '⚙️ 全局核算参数 (Config)'!$C$4), 2))</f>
      </c>
      <c r="O30" s="50">
        <f>IF(OR(ISBLANK(D30), NOT(AND(G30&gt;0, F30&gt;0))), "", INT(('⚙️ 全局核算参数 (Config)'!$B$32 / G30)) * F30)</f>
      </c>
      <c r="P30" s="50">
        <f>IF(OR(ISBLANK(D30), NOT(AND(G30&gt;0, F30&gt;0))), "", INT(('⚙️ 全局核算参数 (Config)'!$B$34 / G30)) * F30)</f>
      </c>
      <c r="Q30" s="51">
        <f>IF(ISBLANK(D30), "", IF(M30&lt;'⚙️ 全局核算参数 (Config)'!$B$14, "🚨 穿透红线", IF(M30&gt;=0.25, "💎 高毛利款", "✅ 利润健康")))</f>
      </c>
    </row>
    <row r="31" ht="24" customHeight="1" spans="1:17" x14ac:dyDescent="0.25">
      <c r="A31" s="52"/>
      <c r="B31" s="53"/>
      <c r="C31" s="54"/>
      <c r="D31" s="55"/>
      <c r="E31" s="56"/>
      <c r="F31" s="56"/>
      <c r="G31" s="57"/>
      <c r="H31" s="58"/>
      <c r="I31" s="59"/>
      <c r="J31" s="52"/>
      <c r="K31" s="52"/>
      <c r="L31" s="47">
        <f>IF(ISBLANK(D31), "", '⚙️ 全局核算参数 (Config)'!$C$21)</f>
      </c>
      <c r="M31" s="48">
        <f>IF(ISBLANK(D31), "", IF(ISBLANK(I31), '⚙️ 全局核算参数 (Config)'!$B$13, I31))</f>
      </c>
      <c r="N31" s="49">
        <f>IF(ISBLANK(D31), "", ROUND(((D31 * (1 + M31) + L31) / '⚙️ 全局核算参数 (Config)'!$C$4), 2))</f>
      </c>
      <c r="O31" s="50">
        <f>IF(OR(ISBLANK(D31), NOT(AND(G31&gt;0, F31&gt;0))), "", INT(('⚙️ 全局核算参数 (Config)'!$B$32 / G31)) * F31)</f>
      </c>
      <c r="P31" s="50">
        <f>IF(OR(ISBLANK(D31), NOT(AND(G31&gt;0, F31&gt;0))), "", INT(('⚙️ 全局核算参数 (Config)'!$B$34 / G31)) * F31)</f>
      </c>
      <c r="Q31" s="51">
        <f>IF(ISBLANK(D31), "", IF(M31&lt;'⚙️ 全局核算参数 (Config)'!$B$14, "🚨 穿透红线", IF(M31&gt;=0.25, "💎 高毛利款", "✅ 利润健康")))</f>
      </c>
    </row>
    <row r="32" ht="24" customHeight="1" spans="1:17" x14ac:dyDescent="0.25">
      <c r="A32" s="39"/>
      <c r="B32" s="40"/>
      <c r="C32" s="41"/>
      <c r="D32" s="42"/>
      <c r="E32" s="43"/>
      <c r="F32" s="43"/>
      <c r="G32" s="44"/>
      <c r="H32" s="45"/>
      <c r="I32" s="46"/>
      <c r="J32" s="39"/>
      <c r="K32" s="39"/>
      <c r="L32" s="47">
        <f>IF(ISBLANK(D32), "", '⚙️ 全局核算参数 (Config)'!$C$21)</f>
      </c>
      <c r="M32" s="48">
        <f>IF(ISBLANK(D32), "", IF(ISBLANK(I32), '⚙️ 全局核算参数 (Config)'!$B$13, I32))</f>
      </c>
      <c r="N32" s="49">
        <f>IF(ISBLANK(D32), "", ROUND(((D32 * (1 + M32) + L32) / '⚙️ 全局核算参数 (Config)'!$C$4), 2))</f>
      </c>
      <c r="O32" s="50">
        <f>IF(OR(ISBLANK(D32), NOT(AND(G32&gt;0, F32&gt;0))), "", INT(('⚙️ 全局核算参数 (Config)'!$B$32 / G32)) * F32)</f>
      </c>
      <c r="P32" s="50">
        <f>IF(OR(ISBLANK(D32), NOT(AND(G32&gt;0, F32&gt;0))), "", INT(('⚙️ 全局核算参数 (Config)'!$B$34 / G32)) * F32)</f>
      </c>
      <c r="Q32" s="51">
        <f>IF(ISBLANK(D32), "", IF(M32&lt;'⚙️ 全局核算参数 (Config)'!$B$14, "🚨 穿透红线", IF(M32&gt;=0.25, "💎 高毛利款", "✅ 利润健康")))</f>
      </c>
    </row>
    <row r="33" ht="24" customHeight="1" spans="1:17" x14ac:dyDescent="0.25">
      <c r="A33" s="52"/>
      <c r="B33" s="53"/>
      <c r="C33" s="54"/>
      <c r="D33" s="55"/>
      <c r="E33" s="56"/>
      <c r="F33" s="56"/>
      <c r="G33" s="57"/>
      <c r="H33" s="58"/>
      <c r="I33" s="59"/>
      <c r="J33" s="52"/>
      <c r="K33" s="52"/>
      <c r="L33" s="47">
        <f>IF(ISBLANK(D33), "", '⚙️ 全局核算参数 (Config)'!$C$21)</f>
      </c>
      <c r="M33" s="48">
        <f>IF(ISBLANK(D33), "", IF(ISBLANK(I33), '⚙️ 全局核算参数 (Config)'!$B$13, I33))</f>
      </c>
      <c r="N33" s="49">
        <f>IF(ISBLANK(D33), "", ROUND(((D33 * (1 + M33) + L33) / '⚙️ 全局核算参数 (Config)'!$C$4), 2))</f>
      </c>
      <c r="O33" s="50">
        <f>IF(OR(ISBLANK(D33), NOT(AND(G33&gt;0, F33&gt;0))), "", INT(('⚙️ 全局核算参数 (Config)'!$B$32 / G33)) * F33)</f>
      </c>
      <c r="P33" s="50">
        <f>IF(OR(ISBLANK(D33), NOT(AND(G33&gt;0, F33&gt;0))), "", INT(('⚙️ 全局核算参数 (Config)'!$B$34 / G33)) * F33)</f>
      </c>
      <c r="Q33" s="51">
        <f>IF(ISBLANK(D33), "", IF(M33&lt;'⚙️ 全局核算参数 (Config)'!$B$14, "🚨 穿透红线", IF(M33&gt;=0.25, "💎 高毛利款", "✅ 利润健康")))</f>
      </c>
    </row>
    <row r="34" ht="24" customHeight="1" spans="1:17" x14ac:dyDescent="0.25">
      <c r="A34" s="39"/>
      <c r="B34" s="40"/>
      <c r="C34" s="41"/>
      <c r="D34" s="42"/>
      <c r="E34" s="43"/>
      <c r="F34" s="43"/>
      <c r="G34" s="44"/>
      <c r="H34" s="45"/>
      <c r="I34" s="46"/>
      <c r="J34" s="39"/>
      <c r="K34" s="39"/>
      <c r="L34" s="47">
        <f>IF(ISBLANK(D34), "", '⚙️ 全局核算参数 (Config)'!$C$21)</f>
      </c>
      <c r="M34" s="48">
        <f>IF(ISBLANK(D34), "", IF(ISBLANK(I34), '⚙️ 全局核算参数 (Config)'!$B$13, I34))</f>
      </c>
      <c r="N34" s="49">
        <f>IF(ISBLANK(D34), "", ROUND(((D34 * (1 + M34) + L34) / '⚙️ 全局核算参数 (Config)'!$C$4), 2))</f>
      </c>
      <c r="O34" s="50">
        <f>IF(OR(ISBLANK(D34), NOT(AND(G34&gt;0, F34&gt;0))), "", INT(('⚙️ 全局核算参数 (Config)'!$B$32 / G34)) * F34)</f>
      </c>
      <c r="P34" s="50">
        <f>IF(OR(ISBLANK(D34), NOT(AND(G34&gt;0, F34&gt;0))), "", INT(('⚙️ 全局核算参数 (Config)'!$B$34 / G34)) * F34)</f>
      </c>
      <c r="Q34" s="51">
        <f>IF(ISBLANK(D34), "", IF(M34&lt;'⚙️ 全局核算参数 (Config)'!$B$14, "🚨 穿透红线", IF(M34&gt;=0.25, "💎 高毛利款", "✅ 利润健康")))</f>
      </c>
    </row>
    <row r="35" ht="24" customHeight="1" spans="1:17" x14ac:dyDescent="0.25">
      <c r="A35" s="52"/>
      <c r="B35" s="53"/>
      <c r="C35" s="54"/>
      <c r="D35" s="55"/>
      <c r="E35" s="56"/>
      <c r="F35" s="56"/>
      <c r="G35" s="57"/>
      <c r="H35" s="58"/>
      <c r="I35" s="59"/>
      <c r="J35" s="52"/>
      <c r="K35" s="52"/>
      <c r="L35" s="47">
        <f>IF(ISBLANK(D35), "", '⚙️ 全局核算参数 (Config)'!$C$21)</f>
      </c>
      <c r="M35" s="48">
        <f>IF(ISBLANK(D35), "", IF(ISBLANK(I35), '⚙️ 全局核算参数 (Config)'!$B$13, I35))</f>
      </c>
      <c r="N35" s="49">
        <f>IF(ISBLANK(D35), "", ROUND(((D35 * (1 + M35) + L35) / '⚙️ 全局核算参数 (Config)'!$C$4), 2))</f>
      </c>
      <c r="O35" s="50">
        <f>IF(OR(ISBLANK(D35), NOT(AND(G35&gt;0, F35&gt;0))), "", INT(('⚙️ 全局核算参数 (Config)'!$B$32 / G35)) * F35)</f>
      </c>
      <c r="P35" s="50">
        <f>IF(OR(ISBLANK(D35), NOT(AND(G35&gt;0, F35&gt;0))), "", INT(('⚙️ 全局核算参数 (Config)'!$B$34 / G35)) * F35)</f>
      </c>
      <c r="Q35" s="51">
        <f>IF(ISBLANK(D35), "", IF(M35&lt;'⚙️ 全局核算参数 (Config)'!$B$14, "🚨 穿透红线", IF(M35&gt;=0.25, "💎 高毛利款", "✅ 利润健康")))</f>
      </c>
    </row>
    <row r="36" ht="24" customHeight="1" spans="1:17" x14ac:dyDescent="0.25">
      <c r="A36" s="39"/>
      <c r="B36" s="40"/>
      <c r="C36" s="41"/>
      <c r="D36" s="42"/>
      <c r="E36" s="43"/>
      <c r="F36" s="43"/>
      <c r="G36" s="44"/>
      <c r="H36" s="45"/>
      <c r="I36" s="46"/>
      <c r="J36" s="39"/>
      <c r="K36" s="39"/>
      <c r="L36" s="47">
        <f>IF(ISBLANK(D36), "", '⚙️ 全局核算参数 (Config)'!$C$21)</f>
      </c>
      <c r="M36" s="48">
        <f>IF(ISBLANK(D36), "", IF(ISBLANK(I36), '⚙️ 全局核算参数 (Config)'!$B$13, I36))</f>
      </c>
      <c r="N36" s="49">
        <f>IF(ISBLANK(D36), "", ROUND(((D36 * (1 + M36) + L36) / '⚙️ 全局核算参数 (Config)'!$C$4), 2))</f>
      </c>
      <c r="O36" s="50">
        <f>IF(OR(ISBLANK(D36), NOT(AND(G36&gt;0, F36&gt;0))), "", INT(('⚙️ 全局核算参数 (Config)'!$B$32 / G36)) * F36)</f>
      </c>
      <c r="P36" s="50">
        <f>IF(OR(ISBLANK(D36), NOT(AND(G36&gt;0, F36&gt;0))), "", INT(('⚙️ 全局核算参数 (Config)'!$B$34 / G36)) * F36)</f>
      </c>
      <c r="Q36" s="51">
        <f>IF(ISBLANK(D36), "", IF(M36&lt;'⚙️ 全局核算参数 (Config)'!$B$14, "🚨 穿透红线", IF(M36&gt;=0.25, "💎 高毛利款", "✅ 利润健康")))</f>
      </c>
    </row>
    <row r="37" ht="24" customHeight="1" spans="1:17" x14ac:dyDescent="0.25">
      <c r="A37" s="52"/>
      <c r="B37" s="53"/>
      <c r="C37" s="54"/>
      <c r="D37" s="55"/>
      <c r="E37" s="56"/>
      <c r="F37" s="56"/>
      <c r="G37" s="57"/>
      <c r="H37" s="58"/>
      <c r="I37" s="59"/>
      <c r="J37" s="52"/>
      <c r="K37" s="52"/>
      <c r="L37" s="47">
        <f>IF(ISBLANK(D37), "", '⚙️ 全局核算参数 (Config)'!$C$21)</f>
      </c>
      <c r="M37" s="48">
        <f>IF(ISBLANK(D37), "", IF(ISBLANK(I37), '⚙️ 全局核算参数 (Config)'!$B$13, I37))</f>
      </c>
      <c r="N37" s="49">
        <f>IF(ISBLANK(D37), "", ROUND(((D37 * (1 + M37) + L37) / '⚙️ 全局核算参数 (Config)'!$C$4), 2))</f>
      </c>
      <c r="O37" s="50">
        <f>IF(OR(ISBLANK(D37), NOT(AND(G37&gt;0, F37&gt;0))), "", INT(('⚙️ 全局核算参数 (Config)'!$B$32 / G37)) * F37)</f>
      </c>
      <c r="P37" s="50">
        <f>IF(OR(ISBLANK(D37), NOT(AND(G37&gt;0, F37&gt;0))), "", INT(('⚙️ 全局核算参数 (Config)'!$B$34 / G37)) * F37)</f>
      </c>
      <c r="Q37" s="51">
        <f>IF(ISBLANK(D37), "", IF(M37&lt;'⚙️ 全局核算参数 (Config)'!$B$14, "🚨 穿透红线", IF(M37&gt;=0.25, "💎 高毛利款", "✅ 利润健康")))</f>
      </c>
    </row>
    <row r="38" ht="24" customHeight="1" spans="1:17" x14ac:dyDescent="0.25">
      <c r="A38" s="39"/>
      <c r="B38" s="40"/>
      <c r="C38" s="41"/>
      <c r="D38" s="42"/>
      <c r="E38" s="43"/>
      <c r="F38" s="43"/>
      <c r="G38" s="44"/>
      <c r="H38" s="45"/>
      <c r="I38" s="46"/>
      <c r="J38" s="39"/>
      <c r="K38" s="39"/>
      <c r="L38" s="47">
        <f>IF(ISBLANK(D38), "", '⚙️ 全局核算参数 (Config)'!$C$21)</f>
      </c>
      <c r="M38" s="48">
        <f>IF(ISBLANK(D38), "", IF(ISBLANK(I38), '⚙️ 全局核算参数 (Config)'!$B$13, I38))</f>
      </c>
      <c r="N38" s="49">
        <f>IF(ISBLANK(D38), "", ROUND(((D38 * (1 + M38) + L38) / '⚙️ 全局核算参数 (Config)'!$C$4), 2))</f>
      </c>
      <c r="O38" s="50">
        <f>IF(OR(ISBLANK(D38), NOT(AND(G38&gt;0, F38&gt;0))), "", INT(('⚙️ 全局核算参数 (Config)'!$B$32 / G38)) * F38)</f>
      </c>
      <c r="P38" s="50">
        <f>IF(OR(ISBLANK(D38), NOT(AND(G38&gt;0, F38&gt;0))), "", INT(('⚙️ 全局核算参数 (Config)'!$B$34 / G38)) * F38)</f>
      </c>
      <c r="Q38" s="51">
        <f>IF(ISBLANK(D38), "", IF(M38&lt;'⚙️ 全局核算参数 (Config)'!$B$14, "🚨 穿透红线", IF(M38&gt;=0.25, "💎 高毛利款", "✅ 利润健康")))</f>
      </c>
    </row>
    <row r="39" ht="24" customHeight="1" spans="1:17" x14ac:dyDescent="0.25">
      <c r="A39" s="52"/>
      <c r="B39" s="53"/>
      <c r="C39" s="54"/>
      <c r="D39" s="55"/>
      <c r="E39" s="56"/>
      <c r="F39" s="56"/>
      <c r="G39" s="57"/>
      <c r="H39" s="58"/>
      <c r="I39" s="59"/>
      <c r="J39" s="52"/>
      <c r="K39" s="52"/>
      <c r="L39" s="47">
        <f>IF(ISBLANK(D39), "", '⚙️ 全局核算参数 (Config)'!$C$21)</f>
      </c>
      <c r="M39" s="48">
        <f>IF(ISBLANK(D39), "", IF(ISBLANK(I39), '⚙️ 全局核算参数 (Config)'!$B$13, I39))</f>
      </c>
      <c r="N39" s="49">
        <f>IF(ISBLANK(D39), "", ROUND(((D39 * (1 + M39) + L39) / '⚙️ 全局核算参数 (Config)'!$C$4), 2))</f>
      </c>
      <c r="O39" s="50">
        <f>IF(OR(ISBLANK(D39), NOT(AND(G39&gt;0, F39&gt;0))), "", INT(('⚙️ 全局核算参数 (Config)'!$B$32 / G39)) * F39)</f>
      </c>
      <c r="P39" s="50">
        <f>IF(OR(ISBLANK(D39), NOT(AND(G39&gt;0, F39&gt;0))), "", INT(('⚙️ 全局核算参数 (Config)'!$B$34 / G39)) * F39)</f>
      </c>
      <c r="Q39" s="51">
        <f>IF(ISBLANK(D39), "", IF(M39&lt;'⚙️ 全局核算参数 (Config)'!$B$14, "🚨 穿透红线", IF(M39&gt;=0.25, "💎 高毛利款", "✅ 利润健康")))</f>
      </c>
    </row>
    <row r="40" ht="24" customHeight="1" spans="1:17" x14ac:dyDescent="0.25">
      <c r="A40" s="39"/>
      <c r="B40" s="40"/>
      <c r="C40" s="41"/>
      <c r="D40" s="42"/>
      <c r="E40" s="43"/>
      <c r="F40" s="43"/>
      <c r="G40" s="44"/>
      <c r="H40" s="45"/>
      <c r="I40" s="46"/>
      <c r="J40" s="39"/>
      <c r="K40" s="39"/>
      <c r="L40" s="47">
        <f>IF(ISBLANK(D40), "", '⚙️ 全局核算参数 (Config)'!$C$21)</f>
      </c>
      <c r="M40" s="48">
        <f>IF(ISBLANK(D40), "", IF(ISBLANK(I40), '⚙️ 全局核算参数 (Config)'!$B$13, I40))</f>
      </c>
      <c r="N40" s="49">
        <f>IF(ISBLANK(D40), "", ROUND(((D40 * (1 + M40) + L40) / '⚙️ 全局核算参数 (Config)'!$C$4), 2))</f>
      </c>
      <c r="O40" s="50">
        <f>IF(OR(ISBLANK(D40), NOT(AND(G40&gt;0, F40&gt;0))), "", INT(('⚙️ 全局核算参数 (Config)'!$B$32 / G40)) * F40)</f>
      </c>
      <c r="P40" s="50">
        <f>IF(OR(ISBLANK(D40), NOT(AND(G40&gt;0, F40&gt;0))), "", INT(('⚙️ 全局核算参数 (Config)'!$B$34 / G40)) * F40)</f>
      </c>
      <c r="Q40" s="51">
        <f>IF(ISBLANK(D40), "", IF(M40&lt;'⚙️ 全局核算参数 (Config)'!$B$14, "🚨 穿透红线", IF(M40&gt;=0.25, "💎 高毛利款", "✅ 利润健康")))</f>
      </c>
    </row>
    <row r="41" ht="24" customHeight="1" spans="1:17" x14ac:dyDescent="0.25">
      <c r="A41" s="52"/>
      <c r="B41" s="53"/>
      <c r="C41" s="54"/>
      <c r="D41" s="55"/>
      <c r="E41" s="56"/>
      <c r="F41" s="56"/>
      <c r="G41" s="57"/>
      <c r="H41" s="58"/>
      <c r="I41" s="59"/>
      <c r="J41" s="52"/>
      <c r="K41" s="52"/>
      <c r="L41" s="47">
        <f>IF(ISBLANK(D41), "", '⚙️ 全局核算参数 (Config)'!$C$21)</f>
      </c>
      <c r="M41" s="48">
        <f>IF(ISBLANK(D41), "", IF(ISBLANK(I41), '⚙️ 全局核算参数 (Config)'!$B$13, I41))</f>
      </c>
      <c r="N41" s="49">
        <f>IF(ISBLANK(D41), "", ROUND(((D41 * (1 + M41) + L41) / '⚙️ 全局核算参数 (Config)'!$C$4), 2))</f>
      </c>
      <c r="O41" s="50">
        <f>IF(OR(ISBLANK(D41), NOT(AND(G41&gt;0, F41&gt;0))), "", INT(('⚙️ 全局核算参数 (Config)'!$B$32 / G41)) * F41)</f>
      </c>
      <c r="P41" s="50">
        <f>IF(OR(ISBLANK(D41), NOT(AND(G41&gt;0, F41&gt;0))), "", INT(('⚙️ 全局核算参数 (Config)'!$B$34 / G41)) * F41)</f>
      </c>
      <c r="Q41" s="51">
        <f>IF(ISBLANK(D41), "", IF(M41&lt;'⚙️ 全局核算参数 (Config)'!$B$14, "🚨 穿透红线", IF(M41&gt;=0.25, "💎 高毛利款", "✅ 利润健康")))</f>
      </c>
    </row>
    <row r="42" ht="24" customHeight="1" spans="1:17" x14ac:dyDescent="0.25">
      <c r="A42" s="39"/>
      <c r="B42" s="40"/>
      <c r="C42" s="41"/>
      <c r="D42" s="42"/>
      <c r="E42" s="43"/>
      <c r="F42" s="43"/>
      <c r="G42" s="44"/>
      <c r="H42" s="45"/>
      <c r="I42" s="46"/>
      <c r="J42" s="39"/>
      <c r="K42" s="39"/>
      <c r="L42" s="47">
        <f>IF(ISBLANK(D42), "", '⚙️ 全局核算参数 (Config)'!$C$21)</f>
      </c>
      <c r="M42" s="48">
        <f>IF(ISBLANK(D42), "", IF(ISBLANK(I42), '⚙️ 全局核算参数 (Config)'!$B$13, I42))</f>
      </c>
      <c r="N42" s="49">
        <f>IF(ISBLANK(D42), "", ROUND(((D42 * (1 + M42) + L42) / '⚙️ 全局核算参数 (Config)'!$C$4), 2))</f>
      </c>
      <c r="O42" s="50">
        <f>IF(OR(ISBLANK(D42), NOT(AND(G42&gt;0, F42&gt;0))), "", INT(('⚙️ 全局核算参数 (Config)'!$B$32 / G42)) * F42)</f>
      </c>
      <c r="P42" s="50">
        <f>IF(OR(ISBLANK(D42), NOT(AND(G42&gt;0, F42&gt;0))), "", INT(('⚙️ 全局核算参数 (Config)'!$B$34 / G42)) * F42)</f>
      </c>
      <c r="Q42" s="51">
        <f>IF(ISBLANK(D42), "", IF(M42&lt;'⚙️ 全局核算参数 (Config)'!$B$14, "🚨 穿透红线", IF(M42&gt;=0.25, "💎 高毛利款", "✅ 利润健康")))</f>
      </c>
    </row>
    <row r="43" ht="24" customHeight="1" spans="1:17" x14ac:dyDescent="0.25">
      <c r="A43" s="52"/>
      <c r="B43" s="53"/>
      <c r="C43" s="54"/>
      <c r="D43" s="55"/>
      <c r="E43" s="56"/>
      <c r="F43" s="56"/>
      <c r="G43" s="57"/>
      <c r="H43" s="58"/>
      <c r="I43" s="59"/>
      <c r="J43" s="52"/>
      <c r="K43" s="52"/>
      <c r="L43" s="47">
        <f>IF(ISBLANK(D43), "", '⚙️ 全局核算参数 (Config)'!$C$21)</f>
      </c>
      <c r="M43" s="48">
        <f>IF(ISBLANK(D43), "", IF(ISBLANK(I43), '⚙️ 全局核算参数 (Config)'!$B$13, I43))</f>
      </c>
      <c r="N43" s="49">
        <f>IF(ISBLANK(D43), "", ROUND(((D43 * (1 + M43) + L43) / '⚙️ 全局核算参数 (Config)'!$C$4), 2))</f>
      </c>
      <c r="O43" s="50">
        <f>IF(OR(ISBLANK(D43), NOT(AND(G43&gt;0, F43&gt;0))), "", INT(('⚙️ 全局核算参数 (Config)'!$B$32 / G43)) * F43)</f>
      </c>
      <c r="P43" s="50">
        <f>IF(OR(ISBLANK(D43), NOT(AND(G43&gt;0, F43&gt;0))), "", INT(('⚙️ 全局核算参数 (Config)'!$B$34 / G43)) * F43)</f>
      </c>
      <c r="Q43" s="51">
        <f>IF(ISBLANK(D43), "", IF(M43&lt;'⚙️ 全局核算参数 (Config)'!$B$14, "🚨 穿透红线", IF(M43&gt;=0.25, "💎 高毛利款", "✅ 利润健康")))</f>
      </c>
    </row>
    <row r="44" ht="24" customHeight="1" spans="1:17" x14ac:dyDescent="0.25">
      <c r="A44" s="39"/>
      <c r="B44" s="40"/>
      <c r="C44" s="41"/>
      <c r="D44" s="42"/>
      <c r="E44" s="43"/>
      <c r="F44" s="43"/>
      <c r="G44" s="44"/>
      <c r="H44" s="45"/>
      <c r="I44" s="46"/>
      <c r="J44" s="39"/>
      <c r="K44" s="39"/>
      <c r="L44" s="47">
        <f>IF(ISBLANK(D44), "", '⚙️ 全局核算参数 (Config)'!$C$21)</f>
      </c>
      <c r="M44" s="48">
        <f>IF(ISBLANK(D44), "", IF(ISBLANK(I44), '⚙️ 全局核算参数 (Config)'!$B$13, I44))</f>
      </c>
      <c r="N44" s="49">
        <f>IF(ISBLANK(D44), "", ROUND(((D44 * (1 + M44) + L44) / '⚙️ 全局核算参数 (Config)'!$C$4), 2))</f>
      </c>
      <c r="O44" s="50">
        <f>IF(OR(ISBLANK(D44), NOT(AND(G44&gt;0, F44&gt;0))), "", INT(('⚙️ 全局核算参数 (Config)'!$B$32 / G44)) * F44)</f>
      </c>
      <c r="P44" s="50">
        <f>IF(OR(ISBLANK(D44), NOT(AND(G44&gt;0, F44&gt;0))), "", INT(('⚙️ 全局核算参数 (Config)'!$B$34 / G44)) * F44)</f>
      </c>
      <c r="Q44" s="51">
        <f>IF(ISBLANK(D44), "", IF(M44&lt;'⚙️ 全局核算参数 (Config)'!$B$14, "🚨 穿透红线", IF(M44&gt;=0.25, "💎 高毛利款", "✅ 利润健康")))</f>
      </c>
    </row>
    <row r="45" ht="24" customHeight="1" spans="1:17" x14ac:dyDescent="0.25">
      <c r="A45" s="52"/>
      <c r="B45" s="53"/>
      <c r="C45" s="54"/>
      <c r="D45" s="55"/>
      <c r="E45" s="56"/>
      <c r="F45" s="56"/>
      <c r="G45" s="57"/>
      <c r="H45" s="58"/>
      <c r="I45" s="59"/>
      <c r="J45" s="52"/>
      <c r="K45" s="52"/>
      <c r="L45" s="47">
        <f>IF(ISBLANK(D45), "", '⚙️ 全局核算参数 (Config)'!$C$21)</f>
      </c>
      <c r="M45" s="48">
        <f>IF(ISBLANK(D45), "", IF(ISBLANK(I45), '⚙️ 全局核算参数 (Config)'!$B$13, I45))</f>
      </c>
      <c r="N45" s="49">
        <f>IF(ISBLANK(D45), "", ROUND(((D45 * (1 + M45) + L45) / '⚙️ 全局核算参数 (Config)'!$C$4), 2))</f>
      </c>
      <c r="O45" s="50">
        <f>IF(OR(ISBLANK(D45), NOT(AND(G45&gt;0, F45&gt;0))), "", INT(('⚙️ 全局核算参数 (Config)'!$B$32 / G45)) * F45)</f>
      </c>
      <c r="P45" s="50">
        <f>IF(OR(ISBLANK(D45), NOT(AND(G45&gt;0, F45&gt;0))), "", INT(('⚙️ 全局核算参数 (Config)'!$B$34 / G45)) * F45)</f>
      </c>
      <c r="Q45" s="51">
        <f>IF(ISBLANK(D45), "", IF(M45&lt;'⚙️ 全局核算参数 (Config)'!$B$14, "🚨 穿透红线", IF(M45&gt;=0.25, "💎 高毛利款", "✅ 利润健康")))</f>
      </c>
    </row>
    <row r="46" ht="24" customHeight="1" spans="1:17" x14ac:dyDescent="0.25">
      <c r="A46" s="39"/>
      <c r="B46" s="40"/>
      <c r="C46" s="41"/>
      <c r="D46" s="42"/>
      <c r="E46" s="43"/>
      <c r="F46" s="43"/>
      <c r="G46" s="44"/>
      <c r="H46" s="45"/>
      <c r="I46" s="46"/>
      <c r="J46" s="39"/>
      <c r="K46" s="39"/>
      <c r="L46" s="47">
        <f>IF(ISBLANK(D46), "", '⚙️ 全局核算参数 (Config)'!$C$21)</f>
      </c>
      <c r="M46" s="48">
        <f>IF(ISBLANK(D46), "", IF(ISBLANK(I46), '⚙️ 全局核算参数 (Config)'!$B$13, I46))</f>
      </c>
      <c r="N46" s="49">
        <f>IF(ISBLANK(D46), "", ROUND(((D46 * (1 + M46) + L46) / '⚙️ 全局核算参数 (Config)'!$C$4), 2))</f>
      </c>
      <c r="O46" s="50">
        <f>IF(OR(ISBLANK(D46), NOT(AND(G46&gt;0, F46&gt;0))), "", INT(('⚙️ 全局核算参数 (Config)'!$B$32 / G46)) * F46)</f>
      </c>
      <c r="P46" s="50">
        <f>IF(OR(ISBLANK(D46), NOT(AND(G46&gt;0, F46&gt;0))), "", INT(('⚙️ 全局核算参数 (Config)'!$B$34 / G46)) * F46)</f>
      </c>
      <c r="Q46" s="51">
        <f>IF(ISBLANK(D46), "", IF(M46&lt;'⚙️ 全局核算参数 (Config)'!$B$14, "🚨 穿透红线", IF(M46&gt;=0.25, "💎 高毛利款", "✅ 利润健康")))</f>
      </c>
    </row>
    <row r="47" ht="24" customHeight="1" spans="1:17" x14ac:dyDescent="0.25">
      <c r="A47" s="52"/>
      <c r="B47" s="53"/>
      <c r="C47" s="54"/>
      <c r="D47" s="55"/>
      <c r="E47" s="56"/>
      <c r="F47" s="56"/>
      <c r="G47" s="57"/>
      <c r="H47" s="58"/>
      <c r="I47" s="59"/>
      <c r="J47" s="52"/>
      <c r="K47" s="52"/>
      <c r="L47" s="47">
        <f>IF(ISBLANK(D47), "", '⚙️ 全局核算参数 (Config)'!$C$21)</f>
      </c>
      <c r="M47" s="48">
        <f>IF(ISBLANK(D47), "", IF(ISBLANK(I47), '⚙️ 全局核算参数 (Config)'!$B$13, I47))</f>
      </c>
      <c r="N47" s="49">
        <f>IF(ISBLANK(D47), "", ROUND(((D47 * (1 + M47) + L47) / '⚙️ 全局核算参数 (Config)'!$C$4), 2))</f>
      </c>
      <c r="O47" s="50">
        <f>IF(OR(ISBLANK(D47), NOT(AND(G47&gt;0, F47&gt;0))), "", INT(('⚙️ 全局核算参数 (Config)'!$B$32 / G47)) * F47)</f>
      </c>
      <c r="P47" s="50">
        <f>IF(OR(ISBLANK(D47), NOT(AND(G47&gt;0, F47&gt;0))), "", INT(('⚙️ 全局核算参数 (Config)'!$B$34 / G47)) * F47)</f>
      </c>
      <c r="Q47" s="51">
        <f>IF(ISBLANK(D47), "", IF(M47&lt;'⚙️ 全局核算参数 (Config)'!$B$14, "🚨 穿透红线", IF(M47&gt;=0.25, "💎 高毛利款", "✅ 利润健康")))</f>
      </c>
    </row>
    <row r="48" ht="24" customHeight="1" spans="1:17" x14ac:dyDescent="0.25">
      <c r="A48" s="39"/>
      <c r="B48" s="40"/>
      <c r="C48" s="41"/>
      <c r="D48" s="42"/>
      <c r="E48" s="43"/>
      <c r="F48" s="43"/>
      <c r="G48" s="44"/>
      <c r="H48" s="45"/>
      <c r="I48" s="46"/>
      <c r="J48" s="39"/>
      <c r="K48" s="39"/>
      <c r="L48" s="47">
        <f>IF(ISBLANK(D48), "", '⚙️ 全局核算参数 (Config)'!$C$21)</f>
      </c>
      <c r="M48" s="48">
        <f>IF(ISBLANK(D48), "", IF(ISBLANK(I48), '⚙️ 全局核算参数 (Config)'!$B$13, I48))</f>
      </c>
      <c r="N48" s="49">
        <f>IF(ISBLANK(D48), "", ROUND(((D48 * (1 + M48) + L48) / '⚙️ 全局核算参数 (Config)'!$C$4), 2))</f>
      </c>
      <c r="O48" s="50">
        <f>IF(OR(ISBLANK(D48), NOT(AND(G48&gt;0, F48&gt;0))), "", INT(('⚙️ 全局核算参数 (Config)'!$B$32 / G48)) * F48)</f>
      </c>
      <c r="P48" s="50">
        <f>IF(OR(ISBLANK(D48), NOT(AND(G48&gt;0, F48&gt;0))), "", INT(('⚙️ 全局核算参数 (Config)'!$B$34 / G48)) * F48)</f>
      </c>
      <c r="Q48" s="51">
        <f>IF(ISBLANK(D48), "", IF(M48&lt;'⚙️ 全局核算参数 (Config)'!$B$14, "🚨 穿透红线", IF(M48&gt;=0.25, "💎 高毛利款", "✅ 利润健康")))</f>
      </c>
    </row>
    <row r="49" ht="24" customHeight="1" spans="1:17" x14ac:dyDescent="0.25">
      <c r="A49" s="52"/>
      <c r="B49" s="53"/>
      <c r="C49" s="54"/>
      <c r="D49" s="55"/>
      <c r="E49" s="56"/>
      <c r="F49" s="56"/>
      <c r="G49" s="57"/>
      <c r="H49" s="58"/>
      <c r="I49" s="59"/>
      <c r="J49" s="52"/>
      <c r="K49" s="52"/>
      <c r="L49" s="47">
        <f>IF(ISBLANK(D49), "", '⚙️ 全局核算参数 (Config)'!$C$21)</f>
      </c>
      <c r="M49" s="48">
        <f>IF(ISBLANK(D49), "", IF(ISBLANK(I49), '⚙️ 全局核算参数 (Config)'!$B$13, I49))</f>
      </c>
      <c r="N49" s="49">
        <f>IF(ISBLANK(D49), "", ROUND(((D49 * (1 + M49) + L49) / '⚙️ 全局核算参数 (Config)'!$C$4), 2))</f>
      </c>
      <c r="O49" s="50">
        <f>IF(OR(ISBLANK(D49), NOT(AND(G49&gt;0, F49&gt;0))), "", INT(('⚙️ 全局核算参数 (Config)'!$B$32 / G49)) * F49)</f>
      </c>
      <c r="P49" s="50">
        <f>IF(OR(ISBLANK(D49), NOT(AND(G49&gt;0, F49&gt;0))), "", INT(('⚙️ 全局核算参数 (Config)'!$B$34 / G49)) * F49)</f>
      </c>
      <c r="Q49" s="51">
        <f>IF(ISBLANK(D49), "", IF(M49&lt;'⚙️ 全局核算参数 (Config)'!$B$14, "🚨 穿透红线", IF(M49&gt;=0.25, "💎 高毛利款", "✅ 利润健康")))</f>
      </c>
    </row>
    <row r="50" ht="24" customHeight="1" spans="1:17" x14ac:dyDescent="0.25">
      <c r="A50" s="39"/>
      <c r="B50" s="40"/>
      <c r="C50" s="41"/>
      <c r="D50" s="42"/>
      <c r="E50" s="43"/>
      <c r="F50" s="43"/>
      <c r="G50" s="44"/>
      <c r="H50" s="45"/>
      <c r="I50" s="46"/>
      <c r="J50" s="39"/>
      <c r="K50" s="39"/>
      <c r="L50" s="47">
        <f>IF(ISBLANK(D50), "", '⚙️ 全局核算参数 (Config)'!$C$21)</f>
      </c>
      <c r="M50" s="48">
        <f>IF(ISBLANK(D50), "", IF(ISBLANK(I50), '⚙️ 全局核算参数 (Config)'!$B$13, I50))</f>
      </c>
      <c r="N50" s="49">
        <f>IF(ISBLANK(D50), "", ROUND(((D50 * (1 + M50) + L50) / '⚙️ 全局核算参数 (Config)'!$C$4), 2))</f>
      </c>
      <c r="O50" s="50">
        <f>IF(OR(ISBLANK(D50), NOT(AND(G50&gt;0, F50&gt;0))), "", INT(('⚙️ 全局核算参数 (Config)'!$B$32 / G50)) * F50)</f>
      </c>
      <c r="P50" s="50">
        <f>IF(OR(ISBLANK(D50), NOT(AND(G50&gt;0, F50&gt;0))), "", INT(('⚙️ 全局核算参数 (Config)'!$B$34 / G50)) * F50)</f>
      </c>
      <c r="Q50" s="51">
        <f>IF(ISBLANK(D50), "", IF(M50&lt;'⚙️ 全局核算参数 (Config)'!$B$14, "🚨 穿透红线", IF(M50&gt;=0.25, "💎 高毛利款", "✅ 利润健康")))</f>
      </c>
    </row>
    <row r="51" ht="24" customHeight="1" spans="1:17" x14ac:dyDescent="0.25">
      <c r="A51" s="52"/>
      <c r="B51" s="53"/>
      <c r="C51" s="54"/>
      <c r="D51" s="55"/>
      <c r="E51" s="56"/>
      <c r="F51" s="56"/>
      <c r="G51" s="57"/>
      <c r="H51" s="58"/>
      <c r="I51" s="59"/>
      <c r="J51" s="52"/>
      <c r="K51" s="52"/>
      <c r="L51" s="47">
        <f>IF(ISBLANK(D51), "", '⚙️ 全局核算参数 (Config)'!$C$21)</f>
      </c>
      <c r="M51" s="48">
        <f>IF(ISBLANK(D51), "", IF(ISBLANK(I51), '⚙️ 全局核算参数 (Config)'!$B$13, I51))</f>
      </c>
      <c r="N51" s="49">
        <f>IF(ISBLANK(D51), "", ROUND(((D51 * (1 + M51) + L51) / '⚙️ 全局核算参数 (Config)'!$C$4), 2))</f>
      </c>
      <c r="O51" s="50">
        <f>IF(OR(ISBLANK(D51), NOT(AND(G51&gt;0, F51&gt;0))), "", INT(('⚙️ 全局核算参数 (Config)'!$B$32 / G51)) * F51)</f>
      </c>
      <c r="P51" s="50">
        <f>IF(OR(ISBLANK(D51), NOT(AND(G51&gt;0, F51&gt;0))), "", INT(('⚙️ 全局核算参数 (Config)'!$B$34 / G51)) * F51)</f>
      </c>
      <c r="Q51" s="51">
        <f>IF(ISBLANK(D51), "", IF(M51&lt;'⚙️ 全局核算参数 (Config)'!$B$14, "🚨 穿透红线", IF(M51&gt;=0.25, "💎 高毛利款", "✅ 利润健康")))</f>
      </c>
    </row>
    <row r="52" ht="24" customHeight="1" spans="1:17" x14ac:dyDescent="0.25">
      <c r="A52" s="39"/>
      <c r="B52" s="40"/>
      <c r="C52" s="41"/>
      <c r="D52" s="42"/>
      <c r="E52" s="43"/>
      <c r="F52" s="43"/>
      <c r="G52" s="44"/>
      <c r="H52" s="45"/>
      <c r="I52" s="46"/>
      <c r="J52" s="39"/>
      <c r="K52" s="39"/>
      <c r="L52" s="47">
        <f>IF(ISBLANK(D52), "", '⚙️ 全局核算参数 (Config)'!$C$21)</f>
      </c>
      <c r="M52" s="48">
        <f>IF(ISBLANK(D52), "", IF(ISBLANK(I52), '⚙️ 全局核算参数 (Config)'!$B$13, I52))</f>
      </c>
      <c r="N52" s="49">
        <f>IF(ISBLANK(D52), "", ROUND(((D52 * (1 + M52) + L52) / '⚙️ 全局核算参数 (Config)'!$C$4), 2))</f>
      </c>
      <c r="O52" s="50">
        <f>IF(OR(ISBLANK(D52), NOT(AND(G52&gt;0, F52&gt;0))), "", INT(('⚙️ 全局核算参数 (Config)'!$B$32 / G52)) * F52)</f>
      </c>
      <c r="P52" s="50">
        <f>IF(OR(ISBLANK(D52), NOT(AND(G52&gt;0, F52&gt;0))), "", INT(('⚙️ 全局核算参数 (Config)'!$B$34 / G52)) * F52)</f>
      </c>
      <c r="Q52" s="51">
        <f>IF(ISBLANK(D52), "", IF(M52&lt;'⚙️ 全局核算参数 (Config)'!$B$14, "🚨 穿透红线", IF(M52&gt;=0.25, "💎 高毛利款", "✅ 利润健康")))</f>
      </c>
    </row>
    <row r="53" ht="24" customHeight="1" spans="1:17" x14ac:dyDescent="0.25">
      <c r="A53" s="52"/>
      <c r="B53" s="53"/>
      <c r="C53" s="54"/>
      <c r="D53" s="55"/>
      <c r="E53" s="56"/>
      <c r="F53" s="56"/>
      <c r="G53" s="57"/>
      <c r="H53" s="58"/>
      <c r="I53" s="59"/>
      <c r="J53" s="52"/>
      <c r="K53" s="52"/>
      <c r="L53" s="47">
        <f>IF(ISBLANK(D53), "", '⚙️ 全局核算参数 (Config)'!$C$21)</f>
      </c>
      <c r="M53" s="48">
        <f>IF(ISBLANK(D53), "", IF(ISBLANK(I53), '⚙️ 全局核算参数 (Config)'!$B$13, I53))</f>
      </c>
      <c r="N53" s="49">
        <f>IF(ISBLANK(D53), "", ROUND(((D53 * (1 + M53) + L53) / '⚙️ 全局核算参数 (Config)'!$C$4), 2))</f>
      </c>
      <c r="O53" s="50">
        <f>IF(OR(ISBLANK(D53), NOT(AND(G53&gt;0, F53&gt;0))), "", INT(('⚙️ 全局核算参数 (Config)'!$B$32 / G53)) * F53)</f>
      </c>
      <c r="P53" s="50">
        <f>IF(OR(ISBLANK(D53), NOT(AND(G53&gt;0, F53&gt;0))), "", INT(('⚙️ 全局核算参数 (Config)'!$B$34 / G53)) * F53)</f>
      </c>
      <c r="Q53" s="51">
        <f>IF(ISBLANK(D53), "", IF(M53&lt;'⚙️ 全局核算参数 (Config)'!$B$14, "🚨 穿透红线", IF(M53&gt;=0.25, "💎 高毛利款", "✅ 利润健康")))</f>
      </c>
    </row>
    <row r="54" ht="24" customHeight="1" spans="1:17" x14ac:dyDescent="0.25">
      <c r="A54" s="39"/>
      <c r="B54" s="40"/>
      <c r="C54" s="41"/>
      <c r="D54" s="42"/>
      <c r="E54" s="43"/>
      <c r="F54" s="43"/>
      <c r="G54" s="44"/>
      <c r="H54" s="45"/>
      <c r="I54" s="46"/>
      <c r="J54" s="39"/>
      <c r="K54" s="39"/>
      <c r="L54" s="47">
        <f>IF(ISBLANK(D54), "", '⚙️ 全局核算参数 (Config)'!$C$21)</f>
      </c>
      <c r="M54" s="48">
        <f>IF(ISBLANK(D54), "", IF(ISBLANK(I54), '⚙️ 全局核算参数 (Config)'!$B$13, I54))</f>
      </c>
      <c r="N54" s="49">
        <f>IF(ISBLANK(D54), "", ROUND(((D54 * (1 + M54) + L54) / '⚙️ 全局核算参数 (Config)'!$C$4), 2))</f>
      </c>
      <c r="O54" s="50">
        <f>IF(OR(ISBLANK(D54), NOT(AND(G54&gt;0, F54&gt;0))), "", INT(('⚙️ 全局核算参数 (Config)'!$B$32 / G54)) * F54)</f>
      </c>
      <c r="P54" s="50">
        <f>IF(OR(ISBLANK(D54), NOT(AND(G54&gt;0, F54&gt;0))), "", INT(('⚙️ 全局核算参数 (Config)'!$B$34 / G54)) * F54)</f>
      </c>
      <c r="Q54" s="51">
        <f>IF(ISBLANK(D54), "", IF(M54&lt;'⚙️ 全局核算参数 (Config)'!$B$14, "🚨 穿透红线", IF(M54&gt;=0.25, "💎 高毛利款", "✅ 利润健康")))</f>
      </c>
    </row>
    <row r="55" ht="24" customHeight="1" spans="1:17" x14ac:dyDescent="0.25">
      <c r="A55" s="52"/>
      <c r="B55" s="53"/>
      <c r="C55" s="54"/>
      <c r="D55" s="55"/>
      <c r="E55" s="56"/>
      <c r="F55" s="56"/>
      <c r="G55" s="57"/>
      <c r="H55" s="58"/>
      <c r="I55" s="59"/>
      <c r="J55" s="52"/>
      <c r="K55" s="52"/>
      <c r="L55" s="47">
        <f>IF(ISBLANK(D55), "", '⚙️ 全局核算参数 (Config)'!$C$21)</f>
      </c>
      <c r="M55" s="48">
        <f>IF(ISBLANK(D55), "", IF(ISBLANK(I55), '⚙️ 全局核算参数 (Config)'!$B$13, I55))</f>
      </c>
      <c r="N55" s="49">
        <f>IF(ISBLANK(D55), "", ROUND(((D55 * (1 + M55) + L55) / '⚙️ 全局核算参数 (Config)'!$C$4), 2))</f>
      </c>
      <c r="O55" s="50">
        <f>IF(OR(ISBLANK(D55), NOT(AND(G55&gt;0, F55&gt;0))), "", INT(('⚙️ 全局核算参数 (Config)'!$B$32 / G55)) * F55)</f>
      </c>
      <c r="P55" s="50">
        <f>IF(OR(ISBLANK(D55), NOT(AND(G55&gt;0, F55&gt;0))), "", INT(('⚙️ 全局核算参数 (Config)'!$B$34 / G55)) * F55)</f>
      </c>
      <c r="Q55" s="51">
        <f>IF(ISBLANK(D55), "", IF(M55&lt;'⚙️ 全局核算参数 (Config)'!$B$14, "🚨 穿透红线", IF(M55&gt;=0.25, "💎 高毛利款", "✅ 利润健康")))</f>
      </c>
    </row>
    <row r="56" ht="24" customHeight="1" spans="1:17" x14ac:dyDescent="0.25">
      <c r="A56" s="39"/>
      <c r="B56" s="40"/>
      <c r="C56" s="41"/>
      <c r="D56" s="42"/>
      <c r="E56" s="43"/>
      <c r="F56" s="43"/>
      <c r="G56" s="44"/>
      <c r="H56" s="45"/>
      <c r="I56" s="46"/>
      <c r="J56" s="39"/>
      <c r="K56" s="39"/>
      <c r="L56" s="47">
        <f>IF(ISBLANK(D56), "", '⚙️ 全局核算参数 (Config)'!$C$21)</f>
      </c>
      <c r="M56" s="48">
        <f>IF(ISBLANK(D56), "", IF(ISBLANK(I56), '⚙️ 全局核算参数 (Config)'!$B$13, I56))</f>
      </c>
      <c r="N56" s="49">
        <f>IF(ISBLANK(D56), "", ROUND(((D56 * (1 + M56) + L56) / '⚙️ 全局核算参数 (Config)'!$C$4), 2))</f>
      </c>
      <c r="O56" s="50">
        <f>IF(OR(ISBLANK(D56), NOT(AND(G56&gt;0, F56&gt;0))), "", INT(('⚙️ 全局核算参数 (Config)'!$B$32 / G56)) * F56)</f>
      </c>
      <c r="P56" s="50">
        <f>IF(OR(ISBLANK(D56), NOT(AND(G56&gt;0, F56&gt;0))), "", INT(('⚙️ 全局核算参数 (Config)'!$B$34 / G56)) * F56)</f>
      </c>
      <c r="Q56" s="51">
        <f>IF(ISBLANK(D56), "", IF(M56&lt;'⚙️ 全局核算参数 (Config)'!$B$14, "🚨 穿透红线", IF(M56&gt;=0.25, "💎 高毛利款", "✅ 利润健康")))</f>
      </c>
    </row>
    <row r="57" ht="24" customHeight="1" spans="1:17" x14ac:dyDescent="0.25">
      <c r="A57" s="52"/>
      <c r="B57" s="53"/>
      <c r="C57" s="54"/>
      <c r="D57" s="55"/>
      <c r="E57" s="56"/>
      <c r="F57" s="56"/>
      <c r="G57" s="57"/>
      <c r="H57" s="58"/>
      <c r="I57" s="59"/>
      <c r="J57" s="52"/>
      <c r="K57" s="52"/>
      <c r="L57" s="47">
        <f>IF(ISBLANK(D57), "", '⚙️ 全局核算参数 (Config)'!$C$21)</f>
      </c>
      <c r="M57" s="48">
        <f>IF(ISBLANK(D57), "", IF(ISBLANK(I57), '⚙️ 全局核算参数 (Config)'!$B$13, I57))</f>
      </c>
      <c r="N57" s="49">
        <f>IF(ISBLANK(D57), "", ROUND(((D57 * (1 + M57) + L57) / '⚙️ 全局核算参数 (Config)'!$C$4), 2))</f>
      </c>
      <c r="O57" s="50">
        <f>IF(OR(ISBLANK(D57), NOT(AND(G57&gt;0, F57&gt;0))), "", INT(('⚙️ 全局核算参数 (Config)'!$B$32 / G57)) * F57)</f>
      </c>
      <c r="P57" s="50">
        <f>IF(OR(ISBLANK(D57), NOT(AND(G57&gt;0, F57&gt;0))), "", INT(('⚙️ 全局核算参数 (Config)'!$B$34 / G57)) * F57)</f>
      </c>
      <c r="Q57" s="51">
        <f>IF(ISBLANK(D57), "", IF(M57&lt;'⚙️ 全局核算参数 (Config)'!$B$14, "🚨 穿透红线", IF(M57&gt;=0.25, "💎 高毛利款", "✅ 利润健康")))</f>
      </c>
    </row>
    <row r="58" ht="24" customHeight="1" spans="1:17" x14ac:dyDescent="0.25">
      <c r="A58" s="39"/>
      <c r="B58" s="40"/>
      <c r="C58" s="41"/>
      <c r="D58" s="42"/>
      <c r="E58" s="43"/>
      <c r="F58" s="43"/>
      <c r="G58" s="44"/>
      <c r="H58" s="45"/>
      <c r="I58" s="46"/>
      <c r="J58" s="39"/>
      <c r="K58" s="39"/>
      <c r="L58" s="47">
        <f>IF(ISBLANK(D58), "", '⚙️ 全局核算参数 (Config)'!$C$21)</f>
      </c>
      <c r="M58" s="48">
        <f>IF(ISBLANK(D58), "", IF(ISBLANK(I58), '⚙️ 全局核算参数 (Config)'!$B$13, I58))</f>
      </c>
      <c r="N58" s="49">
        <f>IF(ISBLANK(D58), "", ROUND(((D58 * (1 + M58) + L58) / '⚙️ 全局核算参数 (Config)'!$C$4), 2))</f>
      </c>
      <c r="O58" s="50">
        <f>IF(OR(ISBLANK(D58), NOT(AND(G58&gt;0, F58&gt;0))), "", INT(('⚙️ 全局核算参数 (Config)'!$B$32 / G58)) * F58)</f>
      </c>
      <c r="P58" s="50">
        <f>IF(OR(ISBLANK(D58), NOT(AND(G58&gt;0, F58&gt;0))), "", INT(('⚙️ 全局核算参数 (Config)'!$B$34 / G58)) * F58)</f>
      </c>
      <c r="Q58" s="51">
        <f>IF(ISBLANK(D58), "", IF(M58&lt;'⚙️ 全局核算参数 (Config)'!$B$14, "🚨 穿透红线", IF(M58&gt;=0.25, "💎 高毛利款", "✅ 利润健康")))</f>
      </c>
    </row>
    <row r="59" ht="24" customHeight="1" spans="1:17" x14ac:dyDescent="0.25">
      <c r="A59" s="52"/>
      <c r="B59" s="53"/>
      <c r="C59" s="54"/>
      <c r="D59" s="55"/>
      <c r="E59" s="56"/>
      <c r="F59" s="56"/>
      <c r="G59" s="57"/>
      <c r="H59" s="58"/>
      <c r="I59" s="59"/>
      <c r="J59" s="52"/>
      <c r="K59" s="52"/>
      <c r="L59" s="47">
        <f>IF(ISBLANK(D59), "", '⚙️ 全局核算参数 (Config)'!$C$21)</f>
      </c>
      <c r="M59" s="48">
        <f>IF(ISBLANK(D59), "", IF(ISBLANK(I59), '⚙️ 全局核算参数 (Config)'!$B$13, I59))</f>
      </c>
      <c r="N59" s="49">
        <f>IF(ISBLANK(D59), "", ROUND(((D59 * (1 + M59) + L59) / '⚙️ 全局核算参数 (Config)'!$C$4), 2))</f>
      </c>
      <c r="O59" s="50">
        <f>IF(OR(ISBLANK(D59), NOT(AND(G59&gt;0, F59&gt;0))), "", INT(('⚙️ 全局核算参数 (Config)'!$B$32 / G59)) * F59)</f>
      </c>
      <c r="P59" s="50">
        <f>IF(OR(ISBLANK(D59), NOT(AND(G59&gt;0, F59&gt;0))), "", INT(('⚙️ 全局核算参数 (Config)'!$B$34 / G59)) * F59)</f>
      </c>
      <c r="Q59" s="51">
        <f>IF(ISBLANK(D59), "", IF(M59&lt;'⚙️ 全局核算参数 (Config)'!$B$14, "🚨 穿透红线", IF(M59&gt;=0.25, "💎 高毛利款", "✅ 利润健康")))</f>
      </c>
    </row>
    <row r="60" ht="24" customHeight="1" spans="1:17" x14ac:dyDescent="0.25">
      <c r="A60" s="39"/>
      <c r="B60" s="40"/>
      <c r="C60" s="41"/>
      <c r="D60" s="42"/>
      <c r="E60" s="43"/>
      <c r="F60" s="43"/>
      <c r="G60" s="44"/>
      <c r="H60" s="45"/>
      <c r="I60" s="46"/>
      <c r="J60" s="39"/>
      <c r="K60" s="39"/>
      <c r="L60" s="47">
        <f>IF(ISBLANK(D60), "", '⚙️ 全局核算参数 (Config)'!$C$21)</f>
      </c>
      <c r="M60" s="48">
        <f>IF(ISBLANK(D60), "", IF(ISBLANK(I60), '⚙️ 全局核算参数 (Config)'!$B$13, I60))</f>
      </c>
      <c r="N60" s="49">
        <f>IF(ISBLANK(D60), "", ROUND(((D60 * (1 + M60) + L60) / '⚙️ 全局核算参数 (Config)'!$C$4), 2))</f>
      </c>
      <c r="O60" s="50">
        <f>IF(OR(ISBLANK(D60), NOT(AND(G60&gt;0, F60&gt;0))), "", INT(('⚙️ 全局核算参数 (Config)'!$B$32 / G60)) * F60)</f>
      </c>
      <c r="P60" s="50">
        <f>IF(OR(ISBLANK(D60), NOT(AND(G60&gt;0, F60&gt;0))), "", INT(('⚙️ 全局核算参数 (Config)'!$B$34 / G60)) * F60)</f>
      </c>
      <c r="Q60" s="51">
        <f>IF(ISBLANK(D60), "", IF(M60&lt;'⚙️ 全局核算参数 (Config)'!$B$14, "🚨 穿透红线", IF(M60&gt;=0.25, "💎 高毛利款", "✅ 利润健康")))</f>
      </c>
    </row>
    <row r="61" ht="24" customHeight="1" spans="1:17" x14ac:dyDescent="0.25">
      <c r="A61" s="52"/>
      <c r="B61" s="53"/>
      <c r="C61" s="54"/>
      <c r="D61" s="55"/>
      <c r="E61" s="56"/>
      <c r="F61" s="56"/>
      <c r="G61" s="57"/>
      <c r="H61" s="58"/>
      <c r="I61" s="59"/>
      <c r="J61" s="52"/>
      <c r="K61" s="52"/>
      <c r="L61" s="47">
        <f>IF(ISBLANK(D61), "", '⚙️ 全局核算参数 (Config)'!$C$21)</f>
      </c>
      <c r="M61" s="48">
        <f>IF(ISBLANK(D61), "", IF(ISBLANK(I61), '⚙️ 全局核算参数 (Config)'!$B$13, I61))</f>
      </c>
      <c r="N61" s="49">
        <f>IF(ISBLANK(D61), "", ROUND(((D61 * (1 + M61) + L61) / '⚙️ 全局核算参数 (Config)'!$C$4), 2))</f>
      </c>
      <c r="O61" s="50">
        <f>IF(OR(ISBLANK(D61), NOT(AND(G61&gt;0, F61&gt;0))), "", INT(('⚙️ 全局核算参数 (Config)'!$B$32 / G61)) * F61)</f>
      </c>
      <c r="P61" s="50">
        <f>IF(OR(ISBLANK(D61), NOT(AND(G61&gt;0, F61&gt;0))), "", INT(('⚙️ 全局核算参数 (Config)'!$B$34 / G61)) * F61)</f>
      </c>
      <c r="Q61" s="51">
        <f>IF(ISBLANK(D61), "", IF(M61&lt;'⚙️ 全局核算参数 (Config)'!$B$14, "🚨 穿透红线", IF(M61&gt;=0.25, "💎 高毛利款", "✅ 利润健康")))</f>
      </c>
    </row>
    <row r="62" ht="24" customHeight="1" spans="1:17" x14ac:dyDescent="0.25">
      <c r="A62" s="39"/>
      <c r="B62" s="40"/>
      <c r="C62" s="41"/>
      <c r="D62" s="42"/>
      <c r="E62" s="43"/>
      <c r="F62" s="43"/>
      <c r="G62" s="44"/>
      <c r="H62" s="45"/>
      <c r="I62" s="46"/>
      <c r="J62" s="39"/>
      <c r="K62" s="39"/>
      <c r="L62" s="47">
        <f>IF(ISBLANK(D62), "", '⚙️ 全局核算参数 (Config)'!$C$21)</f>
      </c>
      <c r="M62" s="48">
        <f>IF(ISBLANK(D62), "", IF(ISBLANK(I62), '⚙️ 全局核算参数 (Config)'!$B$13, I62))</f>
      </c>
      <c r="N62" s="49">
        <f>IF(ISBLANK(D62), "", ROUND(((D62 * (1 + M62) + L62) / '⚙️ 全局核算参数 (Config)'!$C$4), 2))</f>
      </c>
      <c r="O62" s="50">
        <f>IF(OR(ISBLANK(D62), NOT(AND(G62&gt;0, F62&gt;0))), "", INT(('⚙️ 全局核算参数 (Config)'!$B$32 / G62)) * F62)</f>
      </c>
      <c r="P62" s="50">
        <f>IF(OR(ISBLANK(D62), NOT(AND(G62&gt;0, F62&gt;0))), "", INT(('⚙️ 全局核算参数 (Config)'!$B$34 / G62)) * F62)</f>
      </c>
      <c r="Q62" s="51">
        <f>IF(ISBLANK(D62), "", IF(M62&lt;'⚙️ 全局核算参数 (Config)'!$B$14, "🚨 穿透红线", IF(M62&gt;=0.25, "💎 高毛利款", "✅ 利润健康")))</f>
      </c>
    </row>
    <row r="63" ht="24" customHeight="1" spans="1:17" x14ac:dyDescent="0.25">
      <c r="A63" s="52"/>
      <c r="B63" s="53"/>
      <c r="C63" s="54"/>
      <c r="D63" s="55"/>
      <c r="E63" s="56"/>
      <c r="F63" s="56"/>
      <c r="G63" s="57"/>
      <c r="H63" s="58"/>
      <c r="I63" s="59"/>
      <c r="J63" s="52"/>
      <c r="K63" s="52"/>
      <c r="L63" s="47">
        <f>IF(ISBLANK(D63), "", '⚙️ 全局核算参数 (Config)'!$C$21)</f>
      </c>
      <c r="M63" s="48">
        <f>IF(ISBLANK(D63), "", IF(ISBLANK(I63), '⚙️ 全局核算参数 (Config)'!$B$13, I63))</f>
      </c>
      <c r="N63" s="49">
        <f>IF(ISBLANK(D63), "", ROUND(((D63 * (1 + M63) + L63) / '⚙️ 全局核算参数 (Config)'!$C$4), 2))</f>
      </c>
      <c r="O63" s="50">
        <f>IF(OR(ISBLANK(D63), NOT(AND(G63&gt;0, F63&gt;0))), "", INT(('⚙️ 全局核算参数 (Config)'!$B$32 / G63)) * F63)</f>
      </c>
      <c r="P63" s="50">
        <f>IF(OR(ISBLANK(D63), NOT(AND(G63&gt;0, F63&gt;0))), "", INT(('⚙️ 全局核算参数 (Config)'!$B$34 / G63)) * F63)</f>
      </c>
      <c r="Q63" s="51">
        <f>IF(ISBLANK(D63), "", IF(M63&lt;'⚙️ 全局核算参数 (Config)'!$B$14, "🚨 穿透红线", IF(M63&gt;=0.25, "💎 高毛利款", "✅ 利润健康")))</f>
      </c>
    </row>
    <row r="64" ht="24" customHeight="1" spans="1:17" x14ac:dyDescent="0.25">
      <c r="A64" s="39"/>
      <c r="B64" s="40"/>
      <c r="C64" s="41"/>
      <c r="D64" s="42"/>
      <c r="E64" s="43"/>
      <c r="F64" s="43"/>
      <c r="G64" s="44"/>
      <c r="H64" s="45"/>
      <c r="I64" s="46"/>
      <c r="J64" s="39"/>
      <c r="K64" s="39"/>
      <c r="L64" s="47">
        <f>IF(ISBLANK(D64), "", '⚙️ 全局核算参数 (Config)'!$C$21)</f>
      </c>
      <c r="M64" s="48">
        <f>IF(ISBLANK(D64), "", IF(ISBLANK(I64), '⚙️ 全局核算参数 (Config)'!$B$13, I64))</f>
      </c>
      <c r="N64" s="49">
        <f>IF(ISBLANK(D64), "", ROUND(((D64 * (1 + M64) + L64) / '⚙️ 全局核算参数 (Config)'!$C$4), 2))</f>
      </c>
      <c r="O64" s="50">
        <f>IF(OR(ISBLANK(D64), NOT(AND(G64&gt;0, F64&gt;0))), "", INT(('⚙️ 全局核算参数 (Config)'!$B$32 / G64)) * F64)</f>
      </c>
      <c r="P64" s="50">
        <f>IF(OR(ISBLANK(D64), NOT(AND(G64&gt;0, F64&gt;0))), "", INT(('⚙️ 全局核算参数 (Config)'!$B$34 / G64)) * F64)</f>
      </c>
      <c r="Q64" s="51">
        <f>IF(ISBLANK(D64), "", IF(M64&lt;'⚙️ 全局核算参数 (Config)'!$B$14, "🚨 穿透红线", IF(M64&gt;=0.25, "💎 高毛利款", "✅ 利润健康")))</f>
      </c>
    </row>
    <row r="65" ht="24" customHeight="1" spans="1:17" x14ac:dyDescent="0.25">
      <c r="A65" s="52"/>
      <c r="B65" s="53"/>
      <c r="C65" s="54"/>
      <c r="D65" s="55"/>
      <c r="E65" s="56"/>
      <c r="F65" s="56"/>
      <c r="G65" s="57"/>
      <c r="H65" s="58"/>
      <c r="I65" s="59"/>
      <c r="J65" s="52"/>
      <c r="K65" s="52"/>
      <c r="L65" s="47">
        <f>IF(ISBLANK(D65), "", '⚙️ 全局核算参数 (Config)'!$C$21)</f>
      </c>
      <c r="M65" s="48">
        <f>IF(ISBLANK(D65), "", IF(ISBLANK(I65), '⚙️ 全局核算参数 (Config)'!$B$13, I65))</f>
      </c>
      <c r="N65" s="49">
        <f>IF(ISBLANK(D65), "", ROUND(((D65 * (1 + M65) + L65) / '⚙️ 全局核算参数 (Config)'!$C$4), 2))</f>
      </c>
      <c r="O65" s="50">
        <f>IF(OR(ISBLANK(D65), NOT(AND(G65&gt;0, F65&gt;0))), "", INT(('⚙️ 全局核算参数 (Config)'!$B$32 / G65)) * F65)</f>
      </c>
      <c r="P65" s="50">
        <f>IF(OR(ISBLANK(D65), NOT(AND(G65&gt;0, F65&gt;0))), "", INT(('⚙️ 全局核算参数 (Config)'!$B$34 / G65)) * F65)</f>
      </c>
      <c r="Q65" s="51">
        <f>IF(ISBLANK(D65), "", IF(M65&lt;'⚙️ 全局核算参数 (Config)'!$B$14, "🚨 穿透红线", IF(M65&gt;=0.25, "💎 高毛利款", "✅ 利润健康")))</f>
      </c>
    </row>
    <row r="66" ht="24" customHeight="1" spans="1:17" x14ac:dyDescent="0.25">
      <c r="A66" s="39"/>
      <c r="B66" s="40"/>
      <c r="C66" s="41"/>
      <c r="D66" s="42"/>
      <c r="E66" s="43"/>
      <c r="F66" s="43"/>
      <c r="G66" s="44"/>
      <c r="H66" s="45"/>
      <c r="I66" s="46"/>
      <c r="J66" s="39"/>
      <c r="K66" s="39"/>
      <c r="L66" s="47">
        <f>IF(ISBLANK(D66), "", '⚙️ 全局核算参数 (Config)'!$C$21)</f>
      </c>
      <c r="M66" s="48">
        <f>IF(ISBLANK(D66), "", IF(ISBLANK(I66), '⚙️ 全局核算参数 (Config)'!$B$13, I66))</f>
      </c>
      <c r="N66" s="49">
        <f>IF(ISBLANK(D66), "", ROUND(((D66 * (1 + M66) + L66) / '⚙️ 全局核算参数 (Config)'!$C$4), 2))</f>
      </c>
      <c r="O66" s="50">
        <f>IF(OR(ISBLANK(D66), NOT(AND(G66&gt;0, F66&gt;0))), "", INT(('⚙️ 全局核算参数 (Config)'!$B$32 / G66)) * F66)</f>
      </c>
      <c r="P66" s="50">
        <f>IF(OR(ISBLANK(D66), NOT(AND(G66&gt;0, F66&gt;0))), "", INT(('⚙️ 全局核算参数 (Config)'!$B$34 / G66)) * F66)</f>
      </c>
      <c r="Q66" s="51">
        <f>IF(ISBLANK(D66), "", IF(M66&lt;'⚙️ 全局核算参数 (Config)'!$B$14, "🚨 穿透红线", IF(M66&gt;=0.25, "💎 高毛利款", "✅ 利润健康")))</f>
      </c>
    </row>
    <row r="67" ht="24" customHeight="1" spans="1:17" x14ac:dyDescent="0.25">
      <c r="A67" s="52"/>
      <c r="B67" s="53"/>
      <c r="C67" s="54"/>
      <c r="D67" s="55"/>
      <c r="E67" s="56"/>
      <c r="F67" s="56"/>
      <c r="G67" s="57"/>
      <c r="H67" s="58"/>
      <c r="I67" s="59"/>
      <c r="J67" s="52"/>
      <c r="K67" s="52"/>
      <c r="L67" s="47">
        <f>IF(ISBLANK(D67), "", '⚙️ 全局核算参数 (Config)'!$C$21)</f>
      </c>
      <c r="M67" s="48">
        <f>IF(ISBLANK(D67), "", IF(ISBLANK(I67), '⚙️ 全局核算参数 (Config)'!$B$13, I67))</f>
      </c>
      <c r="N67" s="49">
        <f>IF(ISBLANK(D67), "", ROUND(((D67 * (1 + M67) + L67) / '⚙️ 全局核算参数 (Config)'!$C$4), 2))</f>
      </c>
      <c r="O67" s="50">
        <f>IF(OR(ISBLANK(D67), NOT(AND(G67&gt;0, F67&gt;0))), "", INT(('⚙️ 全局核算参数 (Config)'!$B$32 / G67)) * F67)</f>
      </c>
      <c r="P67" s="50">
        <f>IF(OR(ISBLANK(D67), NOT(AND(G67&gt;0, F67&gt;0))), "", INT(('⚙️ 全局核算参数 (Config)'!$B$34 / G67)) * F67)</f>
      </c>
      <c r="Q67" s="51">
        <f>IF(ISBLANK(D67), "", IF(M67&lt;'⚙️ 全局核算参数 (Config)'!$B$14, "🚨 穿透红线", IF(M67&gt;=0.25, "💎 高毛利款", "✅ 利润健康")))</f>
      </c>
    </row>
    <row r="68" ht="24" customHeight="1" spans="1:17" x14ac:dyDescent="0.25">
      <c r="A68" s="39"/>
      <c r="B68" s="40"/>
      <c r="C68" s="41"/>
      <c r="D68" s="42"/>
      <c r="E68" s="43"/>
      <c r="F68" s="43"/>
      <c r="G68" s="44"/>
      <c r="H68" s="45"/>
      <c r="I68" s="46"/>
      <c r="J68" s="39"/>
      <c r="K68" s="39"/>
      <c r="L68" s="47">
        <f>IF(ISBLANK(D68), "", '⚙️ 全局核算参数 (Config)'!$C$21)</f>
      </c>
      <c r="M68" s="48">
        <f>IF(ISBLANK(D68), "", IF(ISBLANK(I68), '⚙️ 全局核算参数 (Config)'!$B$13, I68))</f>
      </c>
      <c r="N68" s="49">
        <f>IF(ISBLANK(D68), "", ROUND(((D68 * (1 + M68) + L68) / '⚙️ 全局核算参数 (Config)'!$C$4), 2))</f>
      </c>
      <c r="O68" s="50">
        <f>IF(OR(ISBLANK(D68), NOT(AND(G68&gt;0, F68&gt;0))), "", INT(('⚙️ 全局核算参数 (Config)'!$B$32 / G68)) * F68)</f>
      </c>
      <c r="P68" s="50">
        <f>IF(OR(ISBLANK(D68), NOT(AND(G68&gt;0, F68&gt;0))), "", INT(('⚙️ 全局核算参数 (Config)'!$B$34 / G68)) * F68)</f>
      </c>
      <c r="Q68" s="51">
        <f>IF(ISBLANK(D68), "", IF(M68&lt;'⚙️ 全局核算参数 (Config)'!$B$14, "🚨 穿透红线", IF(M68&gt;=0.25, "💎 高毛利款", "✅ 利润健康")))</f>
      </c>
    </row>
    <row r="69" ht="24" customHeight="1" spans="1:17" x14ac:dyDescent="0.25">
      <c r="A69" s="52"/>
      <c r="B69" s="53"/>
      <c r="C69" s="54"/>
      <c r="D69" s="55"/>
      <c r="E69" s="56"/>
      <c r="F69" s="56"/>
      <c r="G69" s="57"/>
      <c r="H69" s="58"/>
      <c r="I69" s="59"/>
      <c r="J69" s="52"/>
      <c r="K69" s="52"/>
      <c r="L69" s="47">
        <f>IF(ISBLANK(D69), "", '⚙️ 全局核算参数 (Config)'!$C$21)</f>
      </c>
      <c r="M69" s="48">
        <f>IF(ISBLANK(D69), "", IF(ISBLANK(I69), '⚙️ 全局核算参数 (Config)'!$B$13, I69))</f>
      </c>
      <c r="N69" s="49">
        <f>IF(ISBLANK(D69), "", ROUND(((D69 * (1 + M69) + L69) / '⚙️ 全局核算参数 (Config)'!$C$4), 2))</f>
      </c>
      <c r="O69" s="50">
        <f>IF(OR(ISBLANK(D69), NOT(AND(G69&gt;0, F69&gt;0))), "", INT(('⚙️ 全局核算参数 (Config)'!$B$32 / G69)) * F69)</f>
      </c>
      <c r="P69" s="50">
        <f>IF(OR(ISBLANK(D69), NOT(AND(G69&gt;0, F69&gt;0))), "", INT(('⚙️ 全局核算参数 (Config)'!$B$34 / G69)) * F69)</f>
      </c>
      <c r="Q69" s="51">
        <f>IF(ISBLANK(D69), "", IF(M69&lt;'⚙️ 全局核算参数 (Config)'!$B$14, "🚨 穿透红线", IF(M69&gt;=0.25, "💎 高毛利款", "✅ 利润健康")))</f>
      </c>
    </row>
    <row r="70" ht="24" customHeight="1" spans="1:17" x14ac:dyDescent="0.25">
      <c r="A70" s="39"/>
      <c r="B70" s="40"/>
      <c r="C70" s="41"/>
      <c r="D70" s="42"/>
      <c r="E70" s="43"/>
      <c r="F70" s="43"/>
      <c r="G70" s="44"/>
      <c r="H70" s="45"/>
      <c r="I70" s="46"/>
      <c r="J70" s="39"/>
      <c r="K70" s="39"/>
      <c r="L70" s="47">
        <f>IF(ISBLANK(D70), "", '⚙️ 全局核算参数 (Config)'!$C$21)</f>
      </c>
      <c r="M70" s="48">
        <f>IF(ISBLANK(D70), "", IF(ISBLANK(I70), '⚙️ 全局核算参数 (Config)'!$B$13, I70))</f>
      </c>
      <c r="N70" s="49">
        <f>IF(ISBLANK(D70), "", ROUND(((D70 * (1 + M70) + L70) / '⚙️ 全局核算参数 (Config)'!$C$4), 2))</f>
      </c>
      <c r="O70" s="50">
        <f>IF(OR(ISBLANK(D70), NOT(AND(G70&gt;0, F70&gt;0))), "", INT(('⚙️ 全局核算参数 (Config)'!$B$32 / G70)) * F70)</f>
      </c>
      <c r="P70" s="50">
        <f>IF(OR(ISBLANK(D70), NOT(AND(G70&gt;0, F70&gt;0))), "", INT(('⚙️ 全局核算参数 (Config)'!$B$34 / G70)) * F70)</f>
      </c>
      <c r="Q70" s="51">
        <f>IF(ISBLANK(D70), "", IF(M70&lt;'⚙️ 全局核算参数 (Config)'!$B$14, "🚨 穿透红线", IF(M70&gt;=0.25, "💎 高毛利款", "✅ 利润健康")))</f>
      </c>
    </row>
    <row r="71" ht="24" customHeight="1" spans="1:17" x14ac:dyDescent="0.25">
      <c r="A71" s="52"/>
      <c r="B71" s="53"/>
      <c r="C71" s="54"/>
      <c r="D71" s="55"/>
      <c r="E71" s="56"/>
      <c r="F71" s="56"/>
      <c r="G71" s="57"/>
      <c r="H71" s="58"/>
      <c r="I71" s="59"/>
      <c r="J71" s="52"/>
      <c r="K71" s="52"/>
      <c r="L71" s="47">
        <f>IF(ISBLANK(D71), "", '⚙️ 全局核算参数 (Config)'!$C$21)</f>
      </c>
      <c r="M71" s="48">
        <f>IF(ISBLANK(D71), "", IF(ISBLANK(I71), '⚙️ 全局核算参数 (Config)'!$B$13, I71))</f>
      </c>
      <c r="N71" s="49">
        <f>IF(ISBLANK(D71), "", ROUND(((D71 * (1 + M71) + L71) / '⚙️ 全局核算参数 (Config)'!$C$4), 2))</f>
      </c>
      <c r="O71" s="50">
        <f>IF(OR(ISBLANK(D71), NOT(AND(G71&gt;0, F71&gt;0))), "", INT(('⚙️ 全局核算参数 (Config)'!$B$32 / G71)) * F71)</f>
      </c>
      <c r="P71" s="50">
        <f>IF(OR(ISBLANK(D71), NOT(AND(G71&gt;0, F71&gt;0))), "", INT(('⚙️ 全局核算参数 (Config)'!$B$34 / G71)) * F71)</f>
      </c>
      <c r="Q71" s="51">
        <f>IF(ISBLANK(D71), "", IF(M71&lt;'⚙️ 全局核算参数 (Config)'!$B$14, "🚨 穿透红线", IF(M71&gt;=0.25, "💎 高毛利款", "✅ 利润健康")))</f>
      </c>
    </row>
    <row r="72" ht="24" customHeight="1" spans="1:17" x14ac:dyDescent="0.25">
      <c r="A72" s="39"/>
      <c r="B72" s="40"/>
      <c r="C72" s="41"/>
      <c r="D72" s="42"/>
      <c r="E72" s="43"/>
      <c r="F72" s="43"/>
      <c r="G72" s="44"/>
      <c r="H72" s="45"/>
      <c r="I72" s="46"/>
      <c r="J72" s="39"/>
      <c r="K72" s="39"/>
      <c r="L72" s="47">
        <f>IF(ISBLANK(D72), "", '⚙️ 全局核算参数 (Config)'!$C$21)</f>
      </c>
      <c r="M72" s="48">
        <f>IF(ISBLANK(D72), "", IF(ISBLANK(I72), '⚙️ 全局核算参数 (Config)'!$B$13, I72))</f>
      </c>
      <c r="N72" s="49">
        <f>IF(ISBLANK(D72), "", ROUND(((D72 * (1 + M72) + L72) / '⚙️ 全局核算参数 (Config)'!$C$4), 2))</f>
      </c>
      <c r="O72" s="50">
        <f>IF(OR(ISBLANK(D72), NOT(AND(G72&gt;0, F72&gt;0))), "", INT(('⚙️ 全局核算参数 (Config)'!$B$32 / G72)) * F72)</f>
      </c>
      <c r="P72" s="50">
        <f>IF(OR(ISBLANK(D72), NOT(AND(G72&gt;0, F72&gt;0))), "", INT(('⚙️ 全局核算参数 (Config)'!$B$34 / G72)) * F72)</f>
      </c>
      <c r="Q72" s="51">
        <f>IF(ISBLANK(D72), "", IF(M72&lt;'⚙️ 全局核算参数 (Config)'!$B$14, "🚨 穿透红线", IF(M72&gt;=0.25, "💎 高毛利款", "✅ 利润健康")))</f>
      </c>
    </row>
    <row r="73" ht="24" customHeight="1" spans="1:17" x14ac:dyDescent="0.25">
      <c r="A73" s="52"/>
      <c r="B73" s="53"/>
      <c r="C73" s="54"/>
      <c r="D73" s="55"/>
      <c r="E73" s="56"/>
      <c r="F73" s="56"/>
      <c r="G73" s="57"/>
      <c r="H73" s="58"/>
      <c r="I73" s="59"/>
      <c r="J73" s="52"/>
      <c r="K73" s="52"/>
      <c r="L73" s="47">
        <f>IF(ISBLANK(D73), "", '⚙️ 全局核算参数 (Config)'!$C$21)</f>
      </c>
      <c r="M73" s="48">
        <f>IF(ISBLANK(D73), "", IF(ISBLANK(I73), '⚙️ 全局核算参数 (Config)'!$B$13, I73))</f>
      </c>
      <c r="N73" s="49">
        <f>IF(ISBLANK(D73), "", ROUND(((D73 * (1 + M73) + L73) / '⚙️ 全局核算参数 (Config)'!$C$4), 2))</f>
      </c>
      <c r="O73" s="50">
        <f>IF(OR(ISBLANK(D73), NOT(AND(G73&gt;0, F73&gt;0))), "", INT(('⚙️ 全局核算参数 (Config)'!$B$32 / G73)) * F73)</f>
      </c>
      <c r="P73" s="50">
        <f>IF(OR(ISBLANK(D73), NOT(AND(G73&gt;0, F73&gt;0))), "", INT(('⚙️ 全局核算参数 (Config)'!$B$34 / G73)) * F73)</f>
      </c>
      <c r="Q73" s="51">
        <f>IF(ISBLANK(D73), "", IF(M73&lt;'⚙️ 全局核算参数 (Config)'!$B$14, "🚨 穿透红线", IF(M73&gt;=0.25, "💎 高毛利款", "✅ 利润健康")))</f>
      </c>
    </row>
    <row r="74" ht="24" customHeight="1" spans="1:17" x14ac:dyDescent="0.25">
      <c r="A74" s="39"/>
      <c r="B74" s="40"/>
      <c r="C74" s="41"/>
      <c r="D74" s="42"/>
      <c r="E74" s="43"/>
      <c r="F74" s="43"/>
      <c r="G74" s="44"/>
      <c r="H74" s="45"/>
      <c r="I74" s="46"/>
      <c r="J74" s="39"/>
      <c r="K74" s="39"/>
      <c r="L74" s="47">
        <f>IF(ISBLANK(D74), "", '⚙️ 全局核算参数 (Config)'!$C$21)</f>
      </c>
      <c r="M74" s="48">
        <f>IF(ISBLANK(D74), "", IF(ISBLANK(I74), '⚙️ 全局核算参数 (Config)'!$B$13, I74))</f>
      </c>
      <c r="N74" s="49">
        <f>IF(ISBLANK(D74), "", ROUND(((D74 * (1 + M74) + L74) / '⚙️ 全局核算参数 (Config)'!$C$4), 2))</f>
      </c>
      <c r="O74" s="50">
        <f>IF(OR(ISBLANK(D74), NOT(AND(G74&gt;0, F74&gt;0))), "", INT(('⚙️ 全局核算参数 (Config)'!$B$32 / G74)) * F74)</f>
      </c>
      <c r="P74" s="50">
        <f>IF(OR(ISBLANK(D74), NOT(AND(G74&gt;0, F74&gt;0))), "", INT(('⚙️ 全局核算参数 (Config)'!$B$34 / G74)) * F74)</f>
      </c>
      <c r="Q74" s="51">
        <f>IF(ISBLANK(D74), "", IF(M74&lt;'⚙️ 全局核算参数 (Config)'!$B$14, "🚨 穿透红线", IF(M74&gt;=0.25, "💎 高毛利款", "✅ 利润健康")))</f>
      </c>
    </row>
    <row r="75" ht="24" customHeight="1" spans="1:17" x14ac:dyDescent="0.25">
      <c r="A75" s="52"/>
      <c r="B75" s="53"/>
      <c r="C75" s="54"/>
      <c r="D75" s="55"/>
      <c r="E75" s="56"/>
      <c r="F75" s="56"/>
      <c r="G75" s="57"/>
      <c r="H75" s="58"/>
      <c r="I75" s="59"/>
      <c r="J75" s="52"/>
      <c r="K75" s="52"/>
      <c r="L75" s="47">
        <f>IF(ISBLANK(D75), "", '⚙️ 全局核算参数 (Config)'!$C$21)</f>
      </c>
      <c r="M75" s="48">
        <f>IF(ISBLANK(D75), "", IF(ISBLANK(I75), '⚙️ 全局核算参数 (Config)'!$B$13, I75))</f>
      </c>
      <c r="N75" s="49">
        <f>IF(ISBLANK(D75), "", ROUND(((D75 * (1 + M75) + L75) / '⚙️ 全局核算参数 (Config)'!$C$4), 2))</f>
      </c>
      <c r="O75" s="50">
        <f>IF(OR(ISBLANK(D75), NOT(AND(G75&gt;0, F75&gt;0))), "", INT(('⚙️ 全局核算参数 (Config)'!$B$32 / G75)) * F75)</f>
      </c>
      <c r="P75" s="50">
        <f>IF(OR(ISBLANK(D75), NOT(AND(G75&gt;0, F75&gt;0))), "", INT(('⚙️ 全局核算参数 (Config)'!$B$34 / G75)) * F75)</f>
      </c>
      <c r="Q75" s="51">
        <f>IF(ISBLANK(D75), "", IF(M75&lt;'⚙️ 全局核算参数 (Config)'!$B$14, "🚨 穿透红线", IF(M75&gt;=0.25, "💎 高毛利款", "✅ 利润健康")))</f>
      </c>
    </row>
    <row r="76" ht="24" customHeight="1" spans="1:17" x14ac:dyDescent="0.25">
      <c r="A76" s="39"/>
      <c r="B76" s="40"/>
      <c r="C76" s="41"/>
      <c r="D76" s="42"/>
      <c r="E76" s="43"/>
      <c r="F76" s="43"/>
      <c r="G76" s="44"/>
      <c r="H76" s="45"/>
      <c r="I76" s="46"/>
      <c r="J76" s="39"/>
      <c r="K76" s="39"/>
      <c r="L76" s="47">
        <f>IF(ISBLANK(D76), "", '⚙️ 全局核算参数 (Config)'!$C$21)</f>
      </c>
      <c r="M76" s="48">
        <f>IF(ISBLANK(D76), "", IF(ISBLANK(I76), '⚙️ 全局核算参数 (Config)'!$B$13, I76))</f>
      </c>
      <c r="N76" s="49">
        <f>IF(ISBLANK(D76), "", ROUND(((D76 * (1 + M76) + L76) / '⚙️ 全局核算参数 (Config)'!$C$4), 2))</f>
      </c>
      <c r="O76" s="50">
        <f>IF(OR(ISBLANK(D76), NOT(AND(G76&gt;0, F76&gt;0))), "", INT(('⚙️ 全局核算参数 (Config)'!$B$32 / G76)) * F76)</f>
      </c>
      <c r="P76" s="50">
        <f>IF(OR(ISBLANK(D76), NOT(AND(G76&gt;0, F76&gt;0))), "", INT(('⚙️ 全局核算参数 (Config)'!$B$34 / G76)) * F76)</f>
      </c>
      <c r="Q76" s="51">
        <f>IF(ISBLANK(D76), "", IF(M76&lt;'⚙️ 全局核算参数 (Config)'!$B$14, "🚨 穿透红线", IF(M76&gt;=0.25, "💎 高毛利款", "✅ 利润健康")))</f>
      </c>
    </row>
    <row r="77" ht="24" customHeight="1" spans="1:17" x14ac:dyDescent="0.25">
      <c r="A77" s="52"/>
      <c r="B77" s="53"/>
      <c r="C77" s="54"/>
      <c r="D77" s="55"/>
      <c r="E77" s="56"/>
      <c r="F77" s="56"/>
      <c r="G77" s="57"/>
      <c r="H77" s="58"/>
      <c r="I77" s="59"/>
      <c r="J77" s="52"/>
      <c r="K77" s="52"/>
      <c r="L77" s="47">
        <f>IF(ISBLANK(D77), "", '⚙️ 全局核算参数 (Config)'!$C$21)</f>
      </c>
      <c r="M77" s="48">
        <f>IF(ISBLANK(D77), "", IF(ISBLANK(I77), '⚙️ 全局核算参数 (Config)'!$B$13, I77))</f>
      </c>
      <c r="N77" s="49">
        <f>IF(ISBLANK(D77), "", ROUND(((D77 * (1 + M77) + L77) / '⚙️ 全局核算参数 (Config)'!$C$4), 2))</f>
      </c>
      <c r="O77" s="50">
        <f>IF(OR(ISBLANK(D77), NOT(AND(G77&gt;0, F77&gt;0))), "", INT(('⚙️ 全局核算参数 (Config)'!$B$32 / G77)) * F77)</f>
      </c>
      <c r="P77" s="50">
        <f>IF(OR(ISBLANK(D77), NOT(AND(G77&gt;0, F77&gt;0))), "", INT(('⚙️ 全局核算参数 (Config)'!$B$34 / G77)) * F77)</f>
      </c>
      <c r="Q77" s="51">
        <f>IF(ISBLANK(D77), "", IF(M77&lt;'⚙️ 全局核算参数 (Config)'!$B$14, "🚨 穿透红线", IF(M77&gt;=0.25, "💎 高毛利款", "✅ 利润健康")))</f>
      </c>
    </row>
    <row r="78" ht="24" customHeight="1" spans="1:17" x14ac:dyDescent="0.25">
      <c r="A78" s="39"/>
      <c r="B78" s="40"/>
      <c r="C78" s="41"/>
      <c r="D78" s="42"/>
      <c r="E78" s="43"/>
      <c r="F78" s="43"/>
      <c r="G78" s="44"/>
      <c r="H78" s="45"/>
      <c r="I78" s="46"/>
      <c r="J78" s="39"/>
      <c r="K78" s="39"/>
      <c r="L78" s="47">
        <f>IF(ISBLANK(D78), "", '⚙️ 全局核算参数 (Config)'!$C$21)</f>
      </c>
      <c r="M78" s="48">
        <f>IF(ISBLANK(D78), "", IF(ISBLANK(I78), '⚙️ 全局核算参数 (Config)'!$B$13, I78))</f>
      </c>
      <c r="N78" s="49">
        <f>IF(ISBLANK(D78), "", ROUND(((D78 * (1 + M78) + L78) / '⚙️ 全局核算参数 (Config)'!$C$4), 2))</f>
      </c>
      <c r="O78" s="50">
        <f>IF(OR(ISBLANK(D78), NOT(AND(G78&gt;0, F78&gt;0))), "", INT(('⚙️ 全局核算参数 (Config)'!$B$32 / G78)) * F78)</f>
      </c>
      <c r="P78" s="50">
        <f>IF(OR(ISBLANK(D78), NOT(AND(G78&gt;0, F78&gt;0))), "", INT(('⚙️ 全局核算参数 (Config)'!$B$34 / G78)) * F78)</f>
      </c>
      <c r="Q78" s="51">
        <f>IF(ISBLANK(D78), "", IF(M78&lt;'⚙️ 全局核算参数 (Config)'!$B$14, "🚨 穿透红线", IF(M78&gt;=0.25, "💎 高毛利款", "✅ 利润健康")))</f>
      </c>
    </row>
    <row r="79" ht="24" customHeight="1" spans="1:17" x14ac:dyDescent="0.25">
      <c r="A79" s="52"/>
      <c r="B79" s="53"/>
      <c r="C79" s="54"/>
      <c r="D79" s="55"/>
      <c r="E79" s="56"/>
      <c r="F79" s="56"/>
      <c r="G79" s="57"/>
      <c r="H79" s="58"/>
      <c r="I79" s="59"/>
      <c r="J79" s="52"/>
      <c r="K79" s="52"/>
      <c r="L79" s="47">
        <f>IF(ISBLANK(D79), "", '⚙️ 全局核算参数 (Config)'!$C$21)</f>
      </c>
      <c r="M79" s="48">
        <f>IF(ISBLANK(D79), "", IF(ISBLANK(I79), '⚙️ 全局核算参数 (Config)'!$B$13, I79))</f>
      </c>
      <c r="N79" s="49">
        <f>IF(ISBLANK(D79), "", ROUND(((D79 * (1 + M79) + L79) / '⚙️ 全局核算参数 (Config)'!$C$4), 2))</f>
      </c>
      <c r="O79" s="50">
        <f>IF(OR(ISBLANK(D79), NOT(AND(G79&gt;0, F79&gt;0))), "", INT(('⚙️ 全局核算参数 (Config)'!$B$32 / G79)) * F79)</f>
      </c>
      <c r="P79" s="50">
        <f>IF(OR(ISBLANK(D79), NOT(AND(G79&gt;0, F79&gt;0))), "", INT(('⚙️ 全局核算参数 (Config)'!$B$34 / G79)) * F79)</f>
      </c>
      <c r="Q79" s="51">
        <f>IF(ISBLANK(D79), "", IF(M79&lt;'⚙️ 全局核算参数 (Config)'!$B$14, "🚨 穿透红线", IF(M79&gt;=0.25, "💎 高毛利款", "✅ 利润健康")))</f>
      </c>
    </row>
    <row r="80" ht="24" customHeight="1" spans="1:17" x14ac:dyDescent="0.25">
      <c r="A80" s="39"/>
      <c r="B80" s="40"/>
      <c r="C80" s="41"/>
      <c r="D80" s="42"/>
      <c r="E80" s="43"/>
      <c r="F80" s="43"/>
      <c r="G80" s="44"/>
      <c r="H80" s="45"/>
      <c r="I80" s="46"/>
      <c r="J80" s="39"/>
      <c r="K80" s="39"/>
      <c r="L80" s="47">
        <f>IF(ISBLANK(D80), "", '⚙️ 全局核算参数 (Config)'!$C$21)</f>
      </c>
      <c r="M80" s="48">
        <f>IF(ISBLANK(D80), "", IF(ISBLANK(I80), '⚙️ 全局核算参数 (Config)'!$B$13, I80))</f>
      </c>
      <c r="N80" s="49">
        <f>IF(ISBLANK(D80), "", ROUND(((D80 * (1 + M80) + L80) / '⚙️ 全局核算参数 (Config)'!$C$4), 2))</f>
      </c>
      <c r="O80" s="50">
        <f>IF(OR(ISBLANK(D80), NOT(AND(G80&gt;0, F80&gt;0))), "", INT(('⚙️ 全局核算参数 (Config)'!$B$32 / G80)) * F80)</f>
      </c>
      <c r="P80" s="50">
        <f>IF(OR(ISBLANK(D80), NOT(AND(G80&gt;0, F80&gt;0))), "", INT(('⚙️ 全局核算参数 (Config)'!$B$34 / G80)) * F80)</f>
      </c>
      <c r="Q80" s="51">
        <f>IF(ISBLANK(D80), "", IF(M80&lt;'⚙️ 全局核算参数 (Config)'!$B$14, "🚨 穿透红线", IF(M80&gt;=0.25, "💎 高毛利款", "✅ 利润健康")))</f>
      </c>
    </row>
    <row r="81" ht="24" customHeight="1" spans="1:17" x14ac:dyDescent="0.25">
      <c r="A81" s="52"/>
      <c r="B81" s="53"/>
      <c r="C81" s="54"/>
      <c r="D81" s="55"/>
      <c r="E81" s="56"/>
      <c r="F81" s="56"/>
      <c r="G81" s="57"/>
      <c r="H81" s="58"/>
      <c r="I81" s="59"/>
      <c r="J81" s="52"/>
      <c r="K81" s="52"/>
      <c r="L81" s="47">
        <f>IF(ISBLANK(D81), "", '⚙️ 全局核算参数 (Config)'!$C$21)</f>
      </c>
      <c r="M81" s="48">
        <f>IF(ISBLANK(D81), "", IF(ISBLANK(I81), '⚙️ 全局核算参数 (Config)'!$B$13, I81))</f>
      </c>
      <c r="N81" s="49">
        <f>IF(ISBLANK(D81), "", ROUND(((D81 * (1 + M81) + L81) / '⚙️ 全局核算参数 (Config)'!$C$4), 2))</f>
      </c>
      <c r="O81" s="50">
        <f>IF(OR(ISBLANK(D81), NOT(AND(G81&gt;0, F81&gt;0))), "", INT(('⚙️ 全局核算参数 (Config)'!$B$32 / G81)) * F81)</f>
      </c>
      <c r="P81" s="50">
        <f>IF(OR(ISBLANK(D81), NOT(AND(G81&gt;0, F81&gt;0))), "", INT(('⚙️ 全局核算参数 (Config)'!$B$34 / G81)) * F81)</f>
      </c>
      <c r="Q81" s="51">
        <f>IF(ISBLANK(D81), "", IF(M81&lt;'⚙️ 全局核算参数 (Config)'!$B$14, "🚨 穿透红线", IF(M81&gt;=0.25, "💎 高毛利款", "✅ 利润健康")))</f>
      </c>
    </row>
    <row r="82" ht="24" customHeight="1" spans="1:17" x14ac:dyDescent="0.25">
      <c r="A82" s="39"/>
      <c r="B82" s="40"/>
      <c r="C82" s="41"/>
      <c r="D82" s="42"/>
      <c r="E82" s="43"/>
      <c r="F82" s="43"/>
      <c r="G82" s="44"/>
      <c r="H82" s="45"/>
      <c r="I82" s="46"/>
      <c r="J82" s="39"/>
      <c r="K82" s="39"/>
      <c r="L82" s="47">
        <f>IF(ISBLANK(D82), "", '⚙️ 全局核算参数 (Config)'!$C$21)</f>
      </c>
      <c r="M82" s="48">
        <f>IF(ISBLANK(D82), "", IF(ISBLANK(I82), '⚙️ 全局核算参数 (Config)'!$B$13, I82))</f>
      </c>
      <c r="N82" s="49">
        <f>IF(ISBLANK(D82), "", ROUND(((D82 * (1 + M82) + L82) / '⚙️ 全局核算参数 (Config)'!$C$4), 2))</f>
      </c>
      <c r="O82" s="50">
        <f>IF(OR(ISBLANK(D82), NOT(AND(G82&gt;0, F82&gt;0))), "", INT(('⚙️ 全局核算参数 (Config)'!$B$32 / G82)) * F82)</f>
      </c>
      <c r="P82" s="50">
        <f>IF(OR(ISBLANK(D82), NOT(AND(G82&gt;0, F82&gt;0))), "", INT(('⚙️ 全局核算参数 (Config)'!$B$34 / G82)) * F82)</f>
      </c>
      <c r="Q82" s="51">
        <f>IF(ISBLANK(D82), "", IF(M82&lt;'⚙️ 全局核算参数 (Config)'!$B$14, "🚨 穿透红线", IF(M82&gt;=0.25, "💎 高毛利款", "✅ 利润健康")))</f>
      </c>
    </row>
    <row r="83" ht="24" customHeight="1" spans="1:17" x14ac:dyDescent="0.25">
      <c r="A83" s="52"/>
      <c r="B83" s="53"/>
      <c r="C83" s="54"/>
      <c r="D83" s="55"/>
      <c r="E83" s="56"/>
      <c r="F83" s="56"/>
      <c r="G83" s="57"/>
      <c r="H83" s="58"/>
      <c r="I83" s="59"/>
      <c r="J83" s="52"/>
      <c r="K83" s="52"/>
      <c r="L83" s="47">
        <f>IF(ISBLANK(D83), "", '⚙️ 全局核算参数 (Config)'!$C$21)</f>
      </c>
      <c r="M83" s="48">
        <f>IF(ISBLANK(D83), "", IF(ISBLANK(I83), '⚙️ 全局核算参数 (Config)'!$B$13, I83))</f>
      </c>
      <c r="N83" s="49">
        <f>IF(ISBLANK(D83), "", ROUND(((D83 * (1 + M83) + L83) / '⚙️ 全局核算参数 (Config)'!$C$4), 2))</f>
      </c>
      <c r="O83" s="50">
        <f>IF(OR(ISBLANK(D83), NOT(AND(G83&gt;0, F83&gt;0))), "", INT(('⚙️ 全局核算参数 (Config)'!$B$32 / G83)) * F83)</f>
      </c>
      <c r="P83" s="50">
        <f>IF(OR(ISBLANK(D83), NOT(AND(G83&gt;0, F83&gt;0))), "", INT(('⚙️ 全局核算参数 (Config)'!$B$34 / G83)) * F83)</f>
      </c>
      <c r="Q83" s="51">
        <f>IF(ISBLANK(D83), "", IF(M83&lt;'⚙️ 全局核算参数 (Config)'!$B$14, "🚨 穿透红线", IF(M83&gt;=0.25, "💎 高毛利款", "✅ 利润健康")))</f>
      </c>
    </row>
    <row r="84" ht="24" customHeight="1" spans="1:17" x14ac:dyDescent="0.25">
      <c r="A84" s="39"/>
      <c r="B84" s="40"/>
      <c r="C84" s="41"/>
      <c r="D84" s="42"/>
      <c r="E84" s="43"/>
      <c r="F84" s="43"/>
      <c r="G84" s="44"/>
      <c r="H84" s="45"/>
      <c r="I84" s="46"/>
      <c r="J84" s="39"/>
      <c r="K84" s="39"/>
      <c r="L84" s="47">
        <f>IF(ISBLANK(D84), "", '⚙️ 全局核算参数 (Config)'!$C$21)</f>
      </c>
      <c r="M84" s="48">
        <f>IF(ISBLANK(D84), "", IF(ISBLANK(I84), '⚙️ 全局核算参数 (Config)'!$B$13, I84))</f>
      </c>
      <c r="N84" s="49">
        <f>IF(ISBLANK(D84), "", ROUND(((D84 * (1 + M84) + L84) / '⚙️ 全局核算参数 (Config)'!$C$4), 2))</f>
      </c>
      <c r="O84" s="50">
        <f>IF(OR(ISBLANK(D84), NOT(AND(G84&gt;0, F84&gt;0))), "", INT(('⚙️ 全局核算参数 (Config)'!$B$32 / G84)) * F84)</f>
      </c>
      <c r="P84" s="50">
        <f>IF(OR(ISBLANK(D84), NOT(AND(G84&gt;0, F84&gt;0))), "", INT(('⚙️ 全局核算参数 (Config)'!$B$34 / G84)) * F84)</f>
      </c>
      <c r="Q84" s="51">
        <f>IF(ISBLANK(D84), "", IF(M84&lt;'⚙️ 全局核算参数 (Config)'!$B$14, "🚨 穿透红线", IF(M84&gt;=0.25, "💎 高毛利款", "✅ 利润健康")))</f>
      </c>
    </row>
    <row r="85" ht="24" customHeight="1" spans="1:17" x14ac:dyDescent="0.25">
      <c r="A85" s="52"/>
      <c r="B85" s="53"/>
      <c r="C85" s="54"/>
      <c r="D85" s="55"/>
      <c r="E85" s="56"/>
      <c r="F85" s="56"/>
      <c r="G85" s="57"/>
      <c r="H85" s="58"/>
      <c r="I85" s="59"/>
      <c r="J85" s="52"/>
      <c r="K85" s="52"/>
      <c r="L85" s="47">
        <f>IF(ISBLANK(D85), "", '⚙️ 全局核算参数 (Config)'!$C$21)</f>
      </c>
      <c r="M85" s="48">
        <f>IF(ISBLANK(D85), "", IF(ISBLANK(I85), '⚙️ 全局核算参数 (Config)'!$B$13, I85))</f>
      </c>
      <c r="N85" s="49">
        <f>IF(ISBLANK(D85), "", ROUND(((D85 * (1 + M85) + L85) / '⚙️ 全局核算参数 (Config)'!$C$4), 2))</f>
      </c>
      <c r="O85" s="50">
        <f>IF(OR(ISBLANK(D85), NOT(AND(G85&gt;0, F85&gt;0))), "", INT(('⚙️ 全局核算参数 (Config)'!$B$32 / G85)) * F85)</f>
      </c>
      <c r="P85" s="50">
        <f>IF(OR(ISBLANK(D85), NOT(AND(G85&gt;0, F85&gt;0))), "", INT(('⚙️ 全局核算参数 (Config)'!$B$34 / G85)) * F85)</f>
      </c>
      <c r="Q85" s="51">
        <f>IF(ISBLANK(D85), "", IF(M85&lt;'⚙️ 全局核算参数 (Config)'!$B$14, "🚨 穿透红线", IF(M85&gt;=0.25, "💎 高毛利款", "✅ 利润健康")))</f>
      </c>
    </row>
    <row r="86" ht="24" customHeight="1" spans="1:17" x14ac:dyDescent="0.25">
      <c r="A86" s="39"/>
      <c r="B86" s="40"/>
      <c r="C86" s="41"/>
      <c r="D86" s="42"/>
      <c r="E86" s="43"/>
      <c r="F86" s="43"/>
      <c r="G86" s="44"/>
      <c r="H86" s="45"/>
      <c r="I86" s="46"/>
      <c r="J86" s="39"/>
      <c r="K86" s="39"/>
      <c r="L86" s="47">
        <f>IF(ISBLANK(D86), "", '⚙️ 全局核算参数 (Config)'!$C$21)</f>
      </c>
      <c r="M86" s="48">
        <f>IF(ISBLANK(D86), "", IF(ISBLANK(I86), '⚙️ 全局核算参数 (Config)'!$B$13, I86))</f>
      </c>
      <c r="N86" s="49">
        <f>IF(ISBLANK(D86), "", ROUND(((D86 * (1 + M86) + L86) / '⚙️ 全局核算参数 (Config)'!$C$4), 2))</f>
      </c>
      <c r="O86" s="50">
        <f>IF(OR(ISBLANK(D86), NOT(AND(G86&gt;0, F86&gt;0))), "", INT(('⚙️ 全局核算参数 (Config)'!$B$32 / G86)) * F86)</f>
      </c>
      <c r="P86" s="50">
        <f>IF(OR(ISBLANK(D86), NOT(AND(G86&gt;0, F86&gt;0))), "", INT(('⚙️ 全局核算参数 (Config)'!$B$34 / G86)) * F86)</f>
      </c>
      <c r="Q86" s="51">
        <f>IF(ISBLANK(D86), "", IF(M86&lt;'⚙️ 全局核算参数 (Config)'!$B$14, "🚨 穿透红线", IF(M86&gt;=0.25, "💎 高毛利款", "✅ 利润健康")))</f>
      </c>
    </row>
    <row r="87" ht="24" customHeight="1" spans="1:17" x14ac:dyDescent="0.25">
      <c r="A87" s="52"/>
      <c r="B87" s="53"/>
      <c r="C87" s="54"/>
      <c r="D87" s="55"/>
      <c r="E87" s="56"/>
      <c r="F87" s="56"/>
      <c r="G87" s="57"/>
      <c r="H87" s="58"/>
      <c r="I87" s="59"/>
      <c r="J87" s="52"/>
      <c r="K87" s="52"/>
      <c r="L87" s="47">
        <f>IF(ISBLANK(D87), "", '⚙️ 全局核算参数 (Config)'!$C$21)</f>
      </c>
      <c r="M87" s="48">
        <f>IF(ISBLANK(D87), "", IF(ISBLANK(I87), '⚙️ 全局核算参数 (Config)'!$B$13, I87))</f>
      </c>
      <c r="N87" s="49">
        <f>IF(ISBLANK(D87), "", ROUND(((D87 * (1 + M87) + L87) / '⚙️ 全局核算参数 (Config)'!$C$4), 2))</f>
      </c>
      <c r="O87" s="50">
        <f>IF(OR(ISBLANK(D87), NOT(AND(G87&gt;0, F87&gt;0))), "", INT(('⚙️ 全局核算参数 (Config)'!$B$32 / G87)) * F87)</f>
      </c>
      <c r="P87" s="50">
        <f>IF(OR(ISBLANK(D87), NOT(AND(G87&gt;0, F87&gt;0))), "", INT(('⚙️ 全局核算参数 (Config)'!$B$34 / G87)) * F87)</f>
      </c>
      <c r="Q87" s="51">
        <f>IF(ISBLANK(D87), "", IF(M87&lt;'⚙️ 全局核算参数 (Config)'!$B$14, "🚨 穿透红线", IF(M87&gt;=0.25, "💎 高毛利款", "✅ 利润健康")))</f>
      </c>
    </row>
    <row r="88" ht="24" customHeight="1" spans="1:17" x14ac:dyDescent="0.25">
      <c r="A88" s="39"/>
      <c r="B88" s="40"/>
      <c r="C88" s="41"/>
      <c r="D88" s="42"/>
      <c r="E88" s="43"/>
      <c r="F88" s="43"/>
      <c r="G88" s="44"/>
      <c r="H88" s="45"/>
      <c r="I88" s="46"/>
      <c r="J88" s="39"/>
      <c r="K88" s="39"/>
      <c r="L88" s="47">
        <f>IF(ISBLANK(D88), "", '⚙️ 全局核算参数 (Config)'!$C$21)</f>
      </c>
      <c r="M88" s="48">
        <f>IF(ISBLANK(D88), "", IF(ISBLANK(I88), '⚙️ 全局核算参数 (Config)'!$B$13, I88))</f>
      </c>
      <c r="N88" s="49">
        <f>IF(ISBLANK(D88), "", ROUND(((D88 * (1 + M88) + L88) / '⚙️ 全局核算参数 (Config)'!$C$4), 2))</f>
      </c>
      <c r="O88" s="50">
        <f>IF(OR(ISBLANK(D88), NOT(AND(G88&gt;0, F88&gt;0))), "", INT(('⚙️ 全局核算参数 (Config)'!$B$32 / G88)) * F88)</f>
      </c>
      <c r="P88" s="50">
        <f>IF(OR(ISBLANK(D88), NOT(AND(G88&gt;0, F88&gt;0))), "", INT(('⚙️ 全局核算参数 (Config)'!$B$34 / G88)) * F88)</f>
      </c>
      <c r="Q88" s="51">
        <f>IF(ISBLANK(D88), "", IF(M88&lt;'⚙️ 全局核算参数 (Config)'!$B$14, "🚨 穿透红线", IF(M88&gt;=0.25, "💎 高毛利款", "✅ 利润健康")))</f>
      </c>
    </row>
    <row r="89" ht="24" customHeight="1" spans="1:17" x14ac:dyDescent="0.25">
      <c r="A89" s="52"/>
      <c r="B89" s="53"/>
      <c r="C89" s="54"/>
      <c r="D89" s="55"/>
      <c r="E89" s="56"/>
      <c r="F89" s="56"/>
      <c r="G89" s="57"/>
      <c r="H89" s="58"/>
      <c r="I89" s="59"/>
      <c r="J89" s="52"/>
      <c r="K89" s="52"/>
      <c r="L89" s="47">
        <f>IF(ISBLANK(D89), "", '⚙️ 全局核算参数 (Config)'!$C$21)</f>
      </c>
      <c r="M89" s="48">
        <f>IF(ISBLANK(D89), "", IF(ISBLANK(I89), '⚙️ 全局核算参数 (Config)'!$B$13, I89))</f>
      </c>
      <c r="N89" s="49">
        <f>IF(ISBLANK(D89), "", ROUND(((D89 * (1 + M89) + L89) / '⚙️ 全局核算参数 (Config)'!$C$4), 2))</f>
      </c>
      <c r="O89" s="50">
        <f>IF(OR(ISBLANK(D89), NOT(AND(G89&gt;0, F89&gt;0))), "", INT(('⚙️ 全局核算参数 (Config)'!$B$32 / G89)) * F89)</f>
      </c>
      <c r="P89" s="50">
        <f>IF(OR(ISBLANK(D89), NOT(AND(G89&gt;0, F89&gt;0))), "", INT(('⚙️ 全局核算参数 (Config)'!$B$34 / G89)) * F89)</f>
      </c>
      <c r="Q89" s="51">
        <f>IF(ISBLANK(D89), "", IF(M89&lt;'⚙️ 全局核算参数 (Config)'!$B$14, "🚨 穿透红线", IF(M89&gt;=0.25, "💎 高毛利款", "✅ 利润健康")))</f>
      </c>
    </row>
    <row r="90" ht="24" customHeight="1" spans="1:17" x14ac:dyDescent="0.25">
      <c r="A90" s="39"/>
      <c r="B90" s="40"/>
      <c r="C90" s="41"/>
      <c r="D90" s="42"/>
      <c r="E90" s="43"/>
      <c r="F90" s="43"/>
      <c r="G90" s="44"/>
      <c r="H90" s="45"/>
      <c r="I90" s="46"/>
      <c r="J90" s="39"/>
      <c r="K90" s="39"/>
      <c r="L90" s="47">
        <f>IF(ISBLANK(D90), "", '⚙️ 全局核算参数 (Config)'!$C$21)</f>
      </c>
      <c r="M90" s="48">
        <f>IF(ISBLANK(D90), "", IF(ISBLANK(I90), '⚙️ 全局核算参数 (Config)'!$B$13, I90))</f>
      </c>
      <c r="N90" s="49">
        <f>IF(ISBLANK(D90), "", ROUND(((D90 * (1 + M90) + L90) / '⚙️ 全局核算参数 (Config)'!$C$4), 2))</f>
      </c>
      <c r="O90" s="50">
        <f>IF(OR(ISBLANK(D90), NOT(AND(G90&gt;0, F90&gt;0))), "", INT(('⚙️ 全局核算参数 (Config)'!$B$32 / G90)) * F90)</f>
      </c>
      <c r="P90" s="50">
        <f>IF(OR(ISBLANK(D90), NOT(AND(G90&gt;0, F90&gt;0))), "", INT(('⚙️ 全局核算参数 (Config)'!$B$34 / G90)) * F90)</f>
      </c>
      <c r="Q90" s="51">
        <f>IF(ISBLANK(D90), "", IF(M90&lt;'⚙️ 全局核算参数 (Config)'!$B$14, "🚨 穿透红线", IF(M90&gt;=0.25, "💎 高毛利款", "✅ 利润健康")))</f>
      </c>
    </row>
    <row r="91" ht="24" customHeight="1" spans="1:17" x14ac:dyDescent="0.25">
      <c r="A91" s="52"/>
      <c r="B91" s="53"/>
      <c r="C91" s="54"/>
      <c r="D91" s="55"/>
      <c r="E91" s="56"/>
      <c r="F91" s="56"/>
      <c r="G91" s="57"/>
      <c r="H91" s="58"/>
      <c r="I91" s="59"/>
      <c r="J91" s="52"/>
      <c r="K91" s="52"/>
      <c r="L91" s="47">
        <f>IF(ISBLANK(D91), "", '⚙️ 全局核算参数 (Config)'!$C$21)</f>
      </c>
      <c r="M91" s="48">
        <f>IF(ISBLANK(D91), "", IF(ISBLANK(I91), '⚙️ 全局核算参数 (Config)'!$B$13, I91))</f>
      </c>
      <c r="N91" s="49">
        <f>IF(ISBLANK(D91), "", ROUND(((D91 * (1 + M91) + L91) / '⚙️ 全局核算参数 (Config)'!$C$4), 2))</f>
      </c>
      <c r="O91" s="50">
        <f>IF(OR(ISBLANK(D91), NOT(AND(G91&gt;0, F91&gt;0))), "", INT(('⚙️ 全局核算参数 (Config)'!$B$32 / G91)) * F91)</f>
      </c>
      <c r="P91" s="50">
        <f>IF(OR(ISBLANK(D91), NOT(AND(G91&gt;0, F91&gt;0))), "", INT(('⚙️ 全局核算参数 (Config)'!$B$34 / G91)) * F91)</f>
      </c>
      <c r="Q91" s="51">
        <f>IF(ISBLANK(D91), "", IF(M91&lt;'⚙️ 全局核算参数 (Config)'!$B$14, "🚨 穿透红线", IF(M91&gt;=0.25, "💎 高毛利款", "✅ 利润健康")))</f>
      </c>
    </row>
    <row r="92" ht="24" customHeight="1" spans="1:17" x14ac:dyDescent="0.25">
      <c r="A92" s="39"/>
      <c r="B92" s="40"/>
      <c r="C92" s="41"/>
      <c r="D92" s="42"/>
      <c r="E92" s="43"/>
      <c r="F92" s="43"/>
      <c r="G92" s="44"/>
      <c r="H92" s="45"/>
      <c r="I92" s="46"/>
      <c r="J92" s="39"/>
      <c r="K92" s="39"/>
      <c r="L92" s="47">
        <f>IF(ISBLANK(D92), "", '⚙️ 全局核算参数 (Config)'!$C$21)</f>
      </c>
      <c r="M92" s="48">
        <f>IF(ISBLANK(D92), "", IF(ISBLANK(I92), '⚙️ 全局核算参数 (Config)'!$B$13, I92))</f>
      </c>
      <c r="N92" s="49">
        <f>IF(ISBLANK(D92), "", ROUND(((D92 * (1 + M92) + L92) / '⚙️ 全局核算参数 (Config)'!$C$4), 2))</f>
      </c>
      <c r="O92" s="50">
        <f>IF(OR(ISBLANK(D92), NOT(AND(G92&gt;0, F92&gt;0))), "", INT(('⚙️ 全局核算参数 (Config)'!$B$32 / G92)) * F92)</f>
      </c>
      <c r="P92" s="50">
        <f>IF(OR(ISBLANK(D92), NOT(AND(G92&gt;0, F92&gt;0))), "", INT(('⚙️ 全局核算参数 (Config)'!$B$34 / G92)) * F92)</f>
      </c>
      <c r="Q92" s="51">
        <f>IF(ISBLANK(D92), "", IF(M92&lt;'⚙️ 全局核算参数 (Config)'!$B$14, "🚨 穿透红线", IF(M92&gt;=0.25, "💎 高毛利款", "✅ 利润健康")))</f>
      </c>
    </row>
    <row r="93" ht="24" customHeight="1" spans="1:17" x14ac:dyDescent="0.25">
      <c r="A93" s="52"/>
      <c r="B93" s="53"/>
      <c r="C93" s="54"/>
      <c r="D93" s="55"/>
      <c r="E93" s="56"/>
      <c r="F93" s="56"/>
      <c r="G93" s="57"/>
      <c r="H93" s="58"/>
      <c r="I93" s="59"/>
      <c r="J93" s="52"/>
      <c r="K93" s="52"/>
      <c r="L93" s="47">
        <f>IF(ISBLANK(D93), "", '⚙️ 全局核算参数 (Config)'!$C$21)</f>
      </c>
      <c r="M93" s="48">
        <f>IF(ISBLANK(D93), "", IF(ISBLANK(I93), '⚙️ 全局核算参数 (Config)'!$B$13, I93))</f>
      </c>
      <c r="N93" s="49">
        <f>IF(ISBLANK(D93), "", ROUND(((D93 * (1 + M93) + L93) / '⚙️ 全局核算参数 (Config)'!$C$4), 2))</f>
      </c>
      <c r="O93" s="50">
        <f>IF(OR(ISBLANK(D93), NOT(AND(G93&gt;0, F93&gt;0))), "", INT(('⚙️ 全局核算参数 (Config)'!$B$32 / G93)) * F93)</f>
      </c>
      <c r="P93" s="50">
        <f>IF(OR(ISBLANK(D93), NOT(AND(G93&gt;0, F93&gt;0))), "", INT(('⚙️ 全局核算参数 (Config)'!$B$34 / G93)) * F93)</f>
      </c>
      <c r="Q93" s="51">
        <f>IF(ISBLANK(D93), "", IF(M93&lt;'⚙️ 全局核算参数 (Config)'!$B$14, "🚨 穿透红线", IF(M93&gt;=0.25, "💎 高毛利款", "✅ 利润健康")))</f>
      </c>
    </row>
    <row r="94" ht="24" customHeight="1" spans="1:17" x14ac:dyDescent="0.25">
      <c r="A94" s="39"/>
      <c r="B94" s="40"/>
      <c r="C94" s="41"/>
      <c r="D94" s="42"/>
      <c r="E94" s="43"/>
      <c r="F94" s="43"/>
      <c r="G94" s="44"/>
      <c r="H94" s="45"/>
      <c r="I94" s="46"/>
      <c r="J94" s="39"/>
      <c r="K94" s="39"/>
      <c r="L94" s="47">
        <f>IF(ISBLANK(D94), "", '⚙️ 全局核算参数 (Config)'!$C$21)</f>
      </c>
      <c r="M94" s="48">
        <f>IF(ISBLANK(D94), "", IF(ISBLANK(I94), '⚙️ 全局核算参数 (Config)'!$B$13, I94))</f>
      </c>
      <c r="N94" s="49">
        <f>IF(ISBLANK(D94), "", ROUND(((D94 * (1 + M94) + L94) / '⚙️ 全局核算参数 (Config)'!$C$4), 2))</f>
      </c>
      <c r="O94" s="50">
        <f>IF(OR(ISBLANK(D94), NOT(AND(G94&gt;0, F94&gt;0))), "", INT(('⚙️ 全局核算参数 (Config)'!$B$32 / G94)) * F94)</f>
      </c>
      <c r="P94" s="50">
        <f>IF(OR(ISBLANK(D94), NOT(AND(G94&gt;0, F94&gt;0))), "", INT(('⚙️ 全局核算参数 (Config)'!$B$34 / G94)) * F94)</f>
      </c>
      <c r="Q94" s="51">
        <f>IF(ISBLANK(D94), "", IF(M94&lt;'⚙️ 全局核算参数 (Config)'!$B$14, "🚨 穿透红线", IF(M94&gt;=0.25, "💎 高毛利款", "✅ 利润健康")))</f>
      </c>
    </row>
    <row r="95" ht="24" customHeight="1" spans="1:17" x14ac:dyDescent="0.25">
      <c r="A95" s="52"/>
      <c r="B95" s="53"/>
      <c r="C95" s="54"/>
      <c r="D95" s="55"/>
      <c r="E95" s="56"/>
      <c r="F95" s="56"/>
      <c r="G95" s="57"/>
      <c r="H95" s="58"/>
      <c r="I95" s="59"/>
      <c r="J95" s="52"/>
      <c r="K95" s="52"/>
      <c r="L95" s="47">
        <f>IF(ISBLANK(D95), "", '⚙️ 全局核算参数 (Config)'!$C$21)</f>
      </c>
      <c r="M95" s="48">
        <f>IF(ISBLANK(D95), "", IF(ISBLANK(I95), '⚙️ 全局核算参数 (Config)'!$B$13, I95))</f>
      </c>
      <c r="N95" s="49">
        <f>IF(ISBLANK(D95), "", ROUND(((D95 * (1 + M95) + L95) / '⚙️ 全局核算参数 (Config)'!$C$4), 2))</f>
      </c>
      <c r="O95" s="50">
        <f>IF(OR(ISBLANK(D95), NOT(AND(G95&gt;0, F95&gt;0))), "", INT(('⚙️ 全局核算参数 (Config)'!$B$32 / G95)) * F95)</f>
      </c>
      <c r="P95" s="50">
        <f>IF(OR(ISBLANK(D95), NOT(AND(G95&gt;0, F95&gt;0))), "", INT(('⚙️ 全局核算参数 (Config)'!$B$34 / G95)) * F95)</f>
      </c>
      <c r="Q95" s="51">
        <f>IF(ISBLANK(D95), "", IF(M95&lt;'⚙️ 全局核算参数 (Config)'!$B$14, "🚨 穿透红线", IF(M95&gt;=0.25, "💎 高毛利款", "✅ 利润健康")))</f>
      </c>
    </row>
    <row r="96" ht="24" customHeight="1" spans="1:17" x14ac:dyDescent="0.25">
      <c r="A96" s="39"/>
      <c r="B96" s="40"/>
      <c r="C96" s="41"/>
      <c r="D96" s="42"/>
      <c r="E96" s="43"/>
      <c r="F96" s="43"/>
      <c r="G96" s="44"/>
      <c r="H96" s="45"/>
      <c r="I96" s="46"/>
      <c r="J96" s="39"/>
      <c r="K96" s="39"/>
      <c r="L96" s="47">
        <f>IF(ISBLANK(D96), "", '⚙️ 全局核算参数 (Config)'!$C$21)</f>
      </c>
      <c r="M96" s="48">
        <f>IF(ISBLANK(D96), "", IF(ISBLANK(I96), '⚙️ 全局核算参数 (Config)'!$B$13, I96))</f>
      </c>
      <c r="N96" s="49">
        <f>IF(ISBLANK(D96), "", ROUND(((D96 * (1 + M96) + L96) / '⚙️ 全局核算参数 (Config)'!$C$4), 2))</f>
      </c>
      <c r="O96" s="50">
        <f>IF(OR(ISBLANK(D96), NOT(AND(G96&gt;0, F96&gt;0))), "", INT(('⚙️ 全局核算参数 (Config)'!$B$32 / G96)) * F96)</f>
      </c>
      <c r="P96" s="50">
        <f>IF(OR(ISBLANK(D96), NOT(AND(G96&gt;0, F96&gt;0))), "", INT(('⚙️ 全局核算参数 (Config)'!$B$34 / G96)) * F96)</f>
      </c>
      <c r="Q96" s="51">
        <f>IF(ISBLANK(D96), "", IF(M96&lt;'⚙️ 全局核算参数 (Config)'!$B$14, "🚨 穿透红线", IF(M96&gt;=0.25, "💎 高毛利款", "✅ 利润健康")))</f>
      </c>
    </row>
    <row r="97" ht="24" customHeight="1" spans="1:17" x14ac:dyDescent="0.25">
      <c r="A97" s="52"/>
      <c r="B97" s="53"/>
      <c r="C97" s="54"/>
      <c r="D97" s="55"/>
      <c r="E97" s="56"/>
      <c r="F97" s="56"/>
      <c r="G97" s="57"/>
      <c r="H97" s="58"/>
      <c r="I97" s="59"/>
      <c r="J97" s="52"/>
      <c r="K97" s="52"/>
      <c r="L97" s="47">
        <f>IF(ISBLANK(D97), "", '⚙️ 全局核算参数 (Config)'!$C$21)</f>
      </c>
      <c r="M97" s="48">
        <f>IF(ISBLANK(D97), "", IF(ISBLANK(I97), '⚙️ 全局核算参数 (Config)'!$B$13, I97))</f>
      </c>
      <c r="N97" s="49">
        <f>IF(ISBLANK(D97), "", ROUND(((D97 * (1 + M97) + L97) / '⚙️ 全局核算参数 (Config)'!$C$4), 2))</f>
      </c>
      <c r="O97" s="50">
        <f>IF(OR(ISBLANK(D97), NOT(AND(G97&gt;0, F97&gt;0))), "", INT(('⚙️ 全局核算参数 (Config)'!$B$32 / G97)) * F97)</f>
      </c>
      <c r="P97" s="50">
        <f>IF(OR(ISBLANK(D97), NOT(AND(G97&gt;0, F97&gt;0))), "", INT(('⚙️ 全局核算参数 (Config)'!$B$34 / G97)) * F97)</f>
      </c>
      <c r="Q97" s="51">
        <f>IF(ISBLANK(D97), "", IF(M97&lt;'⚙️ 全局核算参数 (Config)'!$B$14, "🚨 穿透红线", IF(M97&gt;=0.25, "💎 高毛利款", "✅ 利润健康")))</f>
      </c>
    </row>
    <row r="98" ht="24" customHeight="1" spans="1:17" x14ac:dyDescent="0.25">
      <c r="A98" s="39"/>
      <c r="B98" s="40"/>
      <c r="C98" s="41"/>
      <c r="D98" s="42"/>
      <c r="E98" s="43"/>
      <c r="F98" s="43"/>
      <c r="G98" s="44"/>
      <c r="H98" s="45"/>
      <c r="I98" s="46"/>
      <c r="J98" s="39"/>
      <c r="K98" s="39"/>
      <c r="L98" s="47">
        <f>IF(ISBLANK(D98), "", '⚙️ 全局核算参数 (Config)'!$C$21)</f>
      </c>
      <c r="M98" s="48">
        <f>IF(ISBLANK(D98), "", IF(ISBLANK(I98), '⚙️ 全局核算参数 (Config)'!$B$13, I98))</f>
      </c>
      <c r="N98" s="49">
        <f>IF(ISBLANK(D98), "", ROUND(((D98 * (1 + M98) + L98) / '⚙️ 全局核算参数 (Config)'!$C$4), 2))</f>
      </c>
      <c r="O98" s="50">
        <f>IF(OR(ISBLANK(D98), NOT(AND(G98&gt;0, F98&gt;0))), "", INT(('⚙️ 全局核算参数 (Config)'!$B$32 / G98)) * F98)</f>
      </c>
      <c r="P98" s="50">
        <f>IF(OR(ISBLANK(D98), NOT(AND(G98&gt;0, F98&gt;0))), "", INT(('⚙️ 全局核算参数 (Config)'!$B$34 / G98)) * F98)</f>
      </c>
      <c r="Q98" s="51">
        <f>IF(ISBLANK(D98), "", IF(M98&lt;'⚙️ 全局核算参数 (Config)'!$B$14, "🚨 穿透红线", IF(M98&gt;=0.25, "💎 高毛利款", "✅ 利润健康")))</f>
      </c>
    </row>
    <row r="99" ht="24" customHeight="1" spans="1:17" x14ac:dyDescent="0.25">
      <c r="A99" s="52"/>
      <c r="B99" s="53"/>
      <c r="C99" s="54"/>
      <c r="D99" s="55"/>
      <c r="E99" s="56"/>
      <c r="F99" s="56"/>
      <c r="G99" s="57"/>
      <c r="H99" s="58"/>
      <c r="I99" s="59"/>
      <c r="J99" s="52"/>
      <c r="K99" s="52"/>
      <c r="L99" s="47">
        <f>IF(ISBLANK(D99), "", '⚙️ 全局核算参数 (Config)'!$C$21)</f>
      </c>
      <c r="M99" s="48">
        <f>IF(ISBLANK(D99), "", IF(ISBLANK(I99), '⚙️ 全局核算参数 (Config)'!$B$13, I99))</f>
      </c>
      <c r="N99" s="49">
        <f>IF(ISBLANK(D99), "", ROUND(((D99 * (1 + M99) + L99) / '⚙️ 全局核算参数 (Config)'!$C$4), 2))</f>
      </c>
      <c r="O99" s="50">
        <f>IF(OR(ISBLANK(D99), NOT(AND(G99&gt;0, F99&gt;0))), "", INT(('⚙️ 全局核算参数 (Config)'!$B$32 / G99)) * F99)</f>
      </c>
      <c r="P99" s="50">
        <f>IF(OR(ISBLANK(D99), NOT(AND(G99&gt;0, F99&gt;0))), "", INT(('⚙️ 全局核算参数 (Config)'!$B$34 / G99)) * F99)</f>
      </c>
      <c r="Q99" s="51">
        <f>IF(ISBLANK(D99), "", IF(M99&lt;'⚙️ 全局核算参数 (Config)'!$B$14, "🚨 穿透红线", IF(M99&gt;=0.25, "💎 高毛利款", "✅ 利润健康")))</f>
      </c>
    </row>
    <row r="100" ht="24" customHeight="1" spans="1:17" x14ac:dyDescent="0.25">
      <c r="A100" s="39"/>
      <c r="B100" s="40"/>
      <c r="C100" s="41"/>
      <c r="D100" s="42"/>
      <c r="E100" s="43"/>
      <c r="F100" s="43"/>
      <c r="G100" s="44"/>
      <c r="H100" s="45"/>
      <c r="I100" s="46"/>
      <c r="J100" s="39"/>
      <c r="K100" s="39"/>
      <c r="L100" s="47">
        <f>IF(ISBLANK(D100), "", '⚙️ 全局核算参数 (Config)'!$C$21)</f>
      </c>
      <c r="M100" s="48">
        <f>IF(ISBLANK(D100), "", IF(ISBLANK(I100), '⚙️ 全局核算参数 (Config)'!$B$13, I100))</f>
      </c>
      <c r="N100" s="49">
        <f>IF(ISBLANK(D100), "", ROUND(((D100 * (1 + M100) + L100) / '⚙️ 全局核算参数 (Config)'!$C$4), 2))</f>
      </c>
      <c r="O100" s="50">
        <f>IF(OR(ISBLANK(D100), NOT(AND(G100&gt;0, F100&gt;0))), "", INT(('⚙️ 全局核算参数 (Config)'!$B$32 / G100)) * F100)</f>
      </c>
      <c r="P100" s="50">
        <f>IF(OR(ISBLANK(D100), NOT(AND(G100&gt;0, F100&gt;0))), "", INT(('⚙️ 全局核算参数 (Config)'!$B$34 / G100)) * F100)</f>
      </c>
      <c r="Q100" s="51">
        <f>IF(ISBLANK(D100), "", IF(M100&lt;'⚙️ 全局核算参数 (Config)'!$B$14, "🚨 穿透红线", IF(M100&gt;=0.25, "💎 高毛利款", "✅ 利润健康")))</f>
      </c>
    </row>
    <row r="101" ht="24" customHeight="1" spans="1:17" x14ac:dyDescent="0.25">
      <c r="A101" s="52"/>
      <c r="B101" s="53"/>
      <c r="C101" s="54"/>
      <c r="D101" s="55"/>
      <c r="E101" s="56"/>
      <c r="F101" s="56"/>
      <c r="G101" s="57"/>
      <c r="H101" s="58"/>
      <c r="I101" s="59"/>
      <c r="J101" s="52"/>
      <c r="K101" s="52"/>
      <c r="L101" s="47">
        <f>IF(ISBLANK(D101), "", '⚙️ 全局核算参数 (Config)'!$C$21)</f>
      </c>
      <c r="M101" s="48">
        <f>IF(ISBLANK(D101), "", IF(ISBLANK(I101), '⚙️ 全局核算参数 (Config)'!$B$13, I101))</f>
      </c>
      <c r="N101" s="49">
        <f>IF(ISBLANK(D101), "", ROUND(((D101 * (1 + M101) + L101) / '⚙️ 全局核算参数 (Config)'!$C$4), 2))</f>
      </c>
      <c r="O101" s="50">
        <f>IF(OR(ISBLANK(D101), NOT(AND(G101&gt;0, F101&gt;0))), "", INT(('⚙️ 全局核算参数 (Config)'!$B$32 / G101)) * F101)</f>
      </c>
      <c r="P101" s="50">
        <f>IF(OR(ISBLANK(D101), NOT(AND(G101&gt;0, F101&gt;0))), "", INT(('⚙️ 全局核算参数 (Config)'!$B$34 / G101)) * F101)</f>
      </c>
      <c r="Q101" s="51">
        <f>IF(ISBLANK(D101), "", IF(M101&lt;'⚙️ 全局核算参数 (Config)'!$B$14, "🚨 穿透红线", IF(M101&gt;=0.25, "💎 高毛利款", "✅ 利润健康")))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3"/>
  <sheetViews>
    <sheetView workbookViewId="0">
      <pane xSplit="2" ySplit="3" topLeftCell="C4" activePane="bottomRight" state="frozen"/>
      <selection pane="bottomRight" activeCell="C4" sqref="C4"/>
    </sheetView>
  </sheetViews>
  <sheetFormatPr defaultRowHeight="15" outlineLevelRow="0" outlineLevelCol="0" x14ac:dyDescent="55"/>
  <cols>
    <col min="1" max="1" width="8" customWidth="1"/>
    <col min="2" max="2" width="18" customWidth="1"/>
    <col min="3" max="3" width="62" customWidth="1"/>
    <col min="4" max="4" width="13" customWidth="1"/>
    <col min="5" max="5" width="18" customWidth="1"/>
    <col min="6" max="6" width="20" customWidth="1"/>
    <col min="7" max="8" width="18" customWidth="1"/>
    <col min="9" max="9" width="16" customWidth="1"/>
  </cols>
  <sheetData>
    <row r="1" ht="36" customHeight="1" spans="1:9" x14ac:dyDescent="0.25">
      <c r="A1" s="60" t="s">
        <v>150</v>
      </c>
      <c r="B1" s="60"/>
      <c r="C1" s="61" t="s">
        <v>151</v>
      </c>
      <c r="D1" s="61"/>
      <c r="E1" s="61"/>
      <c r="F1" s="61"/>
      <c r="G1" s="61"/>
      <c r="H1" s="61"/>
      <c r="I1" s="61"/>
    </row>
    <row r="2" ht="24" customHeight="1" spans="1:9" x14ac:dyDescent="0.25">
      <c r="A2" s="62" t="str">
        <f>"Trade Term: FOB · " &amp; '⚙️ 全局核算参数 (Config)'!$B$4 &amp; " (" &amp; '⚙️ 全局核算参数 (Config)'!$D$4 &amp; ")"</f>
        <v>Trade Term: FOB · USD ($)</v>
      </c>
      <c r="B2" s="62"/>
      <c r="C2" s="63" t="str">
        <f>"Payment: 30% T/T Deposit, 70% Balance Before Shipment  |  Price Validity: " &amp; '⚙️ 全局核算参数 (Config)'!$B$16</f>
        <v>Payment: 30% T/T Deposit, 70% Balance Before Shipment  |  Price Validity: 30 Days</v>
      </c>
      <c r="D2" s="63"/>
      <c r="E2" s="63"/>
      <c r="F2" s="63"/>
      <c r="G2" s="63"/>
      <c r="H2" s="63"/>
      <c r="I2" s="63"/>
    </row>
    <row r="3" ht="26" customHeight="1" spans="1:9" x14ac:dyDescent="0.25">
      <c r="A3" s="64" t="s">
        <v>152</v>
      </c>
      <c r="B3" s="64" t="s">
        <v>153</v>
      </c>
      <c r="C3" s="64" t="s">
        <v>154</v>
      </c>
      <c r="D3" s="64" t="s">
        <v>155</v>
      </c>
      <c r="E3" s="64" t="str">
        <f>"FOB Price (" &amp; '⚙️ 全局核算参数 (Config)'!$B$4 &amp; ")"</f>
        <v>FOB Price (USD)</v>
      </c>
      <c r="F3" s="64" t="s">
        <v>156</v>
      </c>
      <c r="G3" s="64" t="s">
        <v>157</v>
      </c>
      <c r="H3" s="64" t="s">
        <v>158</v>
      </c>
      <c r="I3" s="64" t="s">
        <v>159</v>
      </c>
    </row>
    <row r="4" ht="30" customHeight="1" spans="1:9" x14ac:dyDescent="0.25">
      <c r="A4" s="65">
        <f>IF(ISBLANK('📦 商品出厂底价库 (Products)'!A2), "", 1)</f>
      </c>
      <c r="B4" s="65">
        <f>IF(ISBLANK('📦 商品出厂底价库 (Products)'!A2), "", '📦 商品出厂底价库 (Products)'!A2)</f>
      </c>
      <c r="C4" s="66">
        <f>IF(ISBLANK('📦 商品出厂底价库 (Products)'!A2), "", '📦 商品出厂底价库 (Products)'!C2)</f>
      </c>
      <c r="D4" s="67">
        <f>IF(ISBLANK('📦 商品出厂底价库 (Products)'!A2), "", '📦 商品出厂底价库 (Products)'!E2)</f>
      </c>
      <c r="E4" s="68">
        <f>IF(ISBLANK('📦 商品出厂底价库 (Products)'!A2), "", '📦 商品出厂底价库 (Products)'!N2)</f>
      </c>
      <c r="F4" s="67">
        <f>IF(ISBLANK('📦 商品出厂底价库 (Products)'!A2), "", '📦 商品出厂底价库 (Products)'!F2)</f>
      </c>
      <c r="G4" s="67">
        <f>IF(ISBLANK('📦 商品出厂底价库 (Products)'!A2), "", '📦 商品出厂底价库 (Products)'!O2)</f>
      </c>
      <c r="H4" s="67">
        <f>IF(ISBLANK('📦 商品出厂底价库 (Products)'!A2), "", '📦 商品出厂底价库 (Products)'!P2)</f>
      </c>
      <c r="I4" s="65">
        <f>IF(ISBLANK('📦 商品出厂底价库 (Products)'!A2), "", '📦 商品出厂底价库 (Products)'!J2)</f>
      </c>
    </row>
    <row r="5" ht="30" customHeight="1" spans="1:9" x14ac:dyDescent="0.25">
      <c r="A5" s="69">
        <f>IF(ISBLANK('📦 商品出厂底价库 (Products)'!A3), "", 2)</f>
      </c>
      <c r="B5" s="69">
        <f>IF(ISBLANK('📦 商品出厂底价库 (Products)'!A3), "", '📦 商品出厂底价库 (Products)'!A3)</f>
      </c>
      <c r="C5" s="70">
        <f>IF(ISBLANK('📦 商品出厂底价库 (Products)'!A3), "", '📦 商品出厂底价库 (Products)'!C3)</f>
      </c>
      <c r="D5" s="71">
        <f>IF(ISBLANK('📦 商品出厂底价库 (Products)'!A3), "", '📦 商品出厂底价库 (Products)'!E3)</f>
      </c>
      <c r="E5" s="72">
        <f>IF(ISBLANK('📦 商品出厂底价库 (Products)'!A3), "", '📦 商品出厂底价库 (Products)'!N3)</f>
      </c>
      <c r="F5" s="71">
        <f>IF(ISBLANK('📦 商品出厂底价库 (Products)'!A3), "", '📦 商品出厂底价库 (Products)'!F3)</f>
      </c>
      <c r="G5" s="71">
        <f>IF(ISBLANK('📦 商品出厂底价库 (Products)'!A3), "", '📦 商品出厂底价库 (Products)'!O3)</f>
      </c>
      <c r="H5" s="71">
        <f>IF(ISBLANK('📦 商品出厂底价库 (Products)'!A3), "", '📦 商品出厂底价库 (Products)'!P3)</f>
      </c>
      <c r="I5" s="69">
        <f>IF(ISBLANK('📦 商品出厂底价库 (Products)'!A3), "", '📦 商品出厂底价库 (Products)'!J3)</f>
      </c>
    </row>
    <row r="6" ht="30" customHeight="1" spans="1:9" x14ac:dyDescent="0.25">
      <c r="A6" s="65">
        <f>IF(ISBLANK('📦 商品出厂底价库 (Products)'!A4), "", 3)</f>
      </c>
      <c r="B6" s="65">
        <f>IF(ISBLANK('📦 商品出厂底价库 (Products)'!A4), "", '📦 商品出厂底价库 (Products)'!A4)</f>
      </c>
      <c r="C6" s="66">
        <f>IF(ISBLANK('📦 商品出厂底价库 (Products)'!A4), "", '📦 商品出厂底价库 (Products)'!C4)</f>
      </c>
      <c r="D6" s="67">
        <f>IF(ISBLANK('📦 商品出厂底价库 (Products)'!A4), "", '📦 商品出厂底价库 (Products)'!E4)</f>
      </c>
      <c r="E6" s="68">
        <f>IF(ISBLANK('📦 商品出厂底价库 (Products)'!A4), "", '📦 商品出厂底价库 (Products)'!N4)</f>
      </c>
      <c r="F6" s="67">
        <f>IF(ISBLANK('📦 商品出厂底价库 (Products)'!A4), "", '📦 商品出厂底价库 (Products)'!F4)</f>
      </c>
      <c r="G6" s="67">
        <f>IF(ISBLANK('📦 商品出厂底价库 (Products)'!A4), "", '📦 商品出厂底价库 (Products)'!O4)</f>
      </c>
      <c r="H6" s="67">
        <f>IF(ISBLANK('📦 商品出厂底价库 (Products)'!A4), "", '📦 商品出厂底价库 (Products)'!P4)</f>
      </c>
      <c r="I6" s="65">
        <f>IF(ISBLANK('📦 商品出厂底价库 (Products)'!A4), "", '📦 商品出厂底价库 (Products)'!J4)</f>
      </c>
    </row>
    <row r="7" ht="30" customHeight="1" spans="1:9" x14ac:dyDescent="0.25">
      <c r="A7" s="69">
        <f>IF(ISBLANK('📦 商品出厂底价库 (Products)'!A5), "", 4)</f>
      </c>
      <c r="B7" s="69">
        <f>IF(ISBLANK('📦 商品出厂底价库 (Products)'!A5), "", '📦 商品出厂底价库 (Products)'!A5)</f>
      </c>
      <c r="C7" s="70">
        <f>IF(ISBLANK('📦 商品出厂底价库 (Products)'!A5), "", '📦 商品出厂底价库 (Products)'!C5)</f>
      </c>
      <c r="D7" s="71">
        <f>IF(ISBLANK('📦 商品出厂底价库 (Products)'!A5), "", '📦 商品出厂底价库 (Products)'!E5)</f>
      </c>
      <c r="E7" s="72">
        <f>IF(ISBLANK('📦 商品出厂底价库 (Products)'!A5), "", '📦 商品出厂底价库 (Products)'!N5)</f>
      </c>
      <c r="F7" s="71">
        <f>IF(ISBLANK('📦 商品出厂底价库 (Products)'!A5), "", '📦 商品出厂底价库 (Products)'!F5)</f>
      </c>
      <c r="G7" s="71">
        <f>IF(ISBLANK('📦 商品出厂底价库 (Products)'!A5), "", '📦 商品出厂底价库 (Products)'!O5)</f>
      </c>
      <c r="H7" s="71">
        <f>IF(ISBLANK('📦 商品出厂底价库 (Products)'!A5), "", '📦 商品出厂底价库 (Products)'!P5)</f>
      </c>
      <c r="I7" s="69">
        <f>IF(ISBLANK('📦 商品出厂底价库 (Products)'!A5), "", '📦 商品出厂底价库 (Products)'!J5)</f>
      </c>
    </row>
    <row r="8" ht="30" customHeight="1" spans="1:9" x14ac:dyDescent="0.25">
      <c r="A8" s="65">
        <f>IF(ISBLANK('📦 商品出厂底价库 (Products)'!A6), "", 5)</f>
      </c>
      <c r="B8" s="65">
        <f>IF(ISBLANK('📦 商品出厂底价库 (Products)'!A6), "", '📦 商品出厂底价库 (Products)'!A6)</f>
      </c>
      <c r="C8" s="66">
        <f>IF(ISBLANK('📦 商品出厂底价库 (Products)'!A6), "", '📦 商品出厂底价库 (Products)'!C6)</f>
      </c>
      <c r="D8" s="67">
        <f>IF(ISBLANK('📦 商品出厂底价库 (Products)'!A6), "", '📦 商品出厂底价库 (Products)'!E6)</f>
      </c>
      <c r="E8" s="68">
        <f>IF(ISBLANK('📦 商品出厂底价库 (Products)'!A6), "", '📦 商品出厂底价库 (Products)'!N6)</f>
      </c>
      <c r="F8" s="67">
        <f>IF(ISBLANK('📦 商品出厂底价库 (Products)'!A6), "", '📦 商品出厂底价库 (Products)'!F6)</f>
      </c>
      <c r="G8" s="67">
        <f>IF(ISBLANK('📦 商品出厂底价库 (Products)'!A6), "", '📦 商品出厂底价库 (Products)'!O6)</f>
      </c>
      <c r="H8" s="67">
        <f>IF(ISBLANK('📦 商品出厂底价库 (Products)'!A6), "", '📦 商品出厂底价库 (Products)'!P6)</f>
      </c>
      <c r="I8" s="65">
        <f>IF(ISBLANK('📦 商品出厂底价库 (Products)'!A6), "", '📦 商品出厂底价库 (Products)'!J6)</f>
      </c>
    </row>
    <row r="9" ht="30" customHeight="1" spans="1:9" x14ac:dyDescent="0.25">
      <c r="A9" s="69">
        <f>IF(ISBLANK('📦 商品出厂底价库 (Products)'!A7), "", 6)</f>
      </c>
      <c r="B9" s="69">
        <f>IF(ISBLANK('📦 商品出厂底价库 (Products)'!A7), "", '📦 商品出厂底价库 (Products)'!A7)</f>
      </c>
      <c r="C9" s="70">
        <f>IF(ISBLANK('📦 商品出厂底价库 (Products)'!A7), "", '📦 商品出厂底价库 (Products)'!C7)</f>
      </c>
      <c r="D9" s="71">
        <f>IF(ISBLANK('📦 商品出厂底价库 (Products)'!A7), "", '📦 商品出厂底价库 (Products)'!E7)</f>
      </c>
      <c r="E9" s="72">
        <f>IF(ISBLANK('📦 商品出厂底价库 (Products)'!A7), "", '📦 商品出厂底价库 (Products)'!N7)</f>
      </c>
      <c r="F9" s="71">
        <f>IF(ISBLANK('📦 商品出厂底价库 (Products)'!A7), "", '📦 商品出厂底价库 (Products)'!F7)</f>
      </c>
      <c r="G9" s="71">
        <f>IF(ISBLANK('📦 商品出厂底价库 (Products)'!A7), "", '📦 商品出厂底价库 (Products)'!O7)</f>
      </c>
      <c r="H9" s="71">
        <f>IF(ISBLANK('📦 商品出厂底价库 (Products)'!A7), "", '📦 商品出厂底价库 (Products)'!P7)</f>
      </c>
      <c r="I9" s="69">
        <f>IF(ISBLANK('📦 商品出厂底价库 (Products)'!A7), "", '📦 商品出厂底价库 (Products)'!J7)</f>
      </c>
    </row>
    <row r="10" ht="26" customHeight="1" spans="1:9" x14ac:dyDescent="0.25">
      <c r="A10" s="65">
        <f>IF(ISBLANK('📦 商品出厂底价库 (Products)'!A8), "", 7)</f>
      </c>
      <c r="B10" s="65">
        <f>IF(ISBLANK('📦 商品出厂底价库 (Products)'!A8), "", '📦 商品出厂底价库 (Products)'!A8)</f>
      </c>
      <c r="C10" s="66">
        <f>IF(ISBLANK('📦 商品出厂底价库 (Products)'!A8), "", '📦 商品出厂底价库 (Products)'!C8)</f>
      </c>
      <c r="D10" s="67">
        <f>IF(ISBLANK('📦 商品出厂底价库 (Products)'!A8), "", '📦 商品出厂底价库 (Products)'!E8)</f>
      </c>
      <c r="E10" s="68">
        <f>IF(ISBLANK('📦 商品出厂底价库 (Products)'!A8), "", '📦 商品出厂底价库 (Products)'!N8)</f>
      </c>
      <c r="F10" s="67">
        <f>IF(ISBLANK('📦 商品出厂底价库 (Products)'!A8), "", '📦 商品出厂底价库 (Products)'!F8)</f>
      </c>
      <c r="G10" s="67">
        <f>IF(ISBLANK('📦 商品出厂底价库 (Products)'!A8), "", '📦 商品出厂底价库 (Products)'!O8)</f>
      </c>
      <c r="H10" s="67">
        <f>IF(ISBLANK('📦 商品出厂底价库 (Products)'!A8), "", '📦 商品出厂底价库 (Products)'!P8)</f>
      </c>
      <c r="I10" s="65">
        <f>IF(ISBLANK('📦 商品出厂底价库 (Products)'!A8), "", '📦 商品出厂底价库 (Products)'!J8)</f>
      </c>
    </row>
    <row r="11" ht="26" customHeight="1" spans="1:9" x14ac:dyDescent="0.25">
      <c r="A11" s="69">
        <f>IF(ISBLANK('📦 商品出厂底价库 (Products)'!A9), "", 8)</f>
      </c>
      <c r="B11" s="69">
        <f>IF(ISBLANK('📦 商品出厂底价库 (Products)'!A9), "", '📦 商品出厂底价库 (Products)'!A9)</f>
      </c>
      <c r="C11" s="70">
        <f>IF(ISBLANK('📦 商品出厂底价库 (Products)'!A9), "", '📦 商品出厂底价库 (Products)'!C9)</f>
      </c>
      <c r="D11" s="71">
        <f>IF(ISBLANK('📦 商品出厂底价库 (Products)'!A9), "", '📦 商品出厂底价库 (Products)'!E9)</f>
      </c>
      <c r="E11" s="72">
        <f>IF(ISBLANK('📦 商品出厂底价库 (Products)'!A9), "", '📦 商品出厂底价库 (Products)'!N9)</f>
      </c>
      <c r="F11" s="71">
        <f>IF(ISBLANK('📦 商品出厂底价库 (Products)'!A9), "", '📦 商品出厂底价库 (Products)'!F9)</f>
      </c>
      <c r="G11" s="71">
        <f>IF(ISBLANK('📦 商品出厂底价库 (Products)'!A9), "", '📦 商品出厂底价库 (Products)'!O9)</f>
      </c>
      <c r="H11" s="71">
        <f>IF(ISBLANK('📦 商品出厂底价库 (Products)'!A9), "", '📦 商品出厂底价库 (Products)'!P9)</f>
      </c>
      <c r="I11" s="69">
        <f>IF(ISBLANK('📦 商品出厂底价库 (Products)'!A9), "", '📦 商品出厂底价库 (Products)'!J9)</f>
      </c>
    </row>
    <row r="12" ht="26" customHeight="1" spans="1:9" x14ac:dyDescent="0.25">
      <c r="A12" s="65">
        <f>IF(ISBLANK('📦 商品出厂底价库 (Products)'!A10), "", 9)</f>
      </c>
      <c r="B12" s="65">
        <f>IF(ISBLANK('📦 商品出厂底价库 (Products)'!A10), "", '📦 商品出厂底价库 (Products)'!A10)</f>
      </c>
      <c r="C12" s="66">
        <f>IF(ISBLANK('📦 商品出厂底价库 (Products)'!A10), "", '📦 商品出厂底价库 (Products)'!C10)</f>
      </c>
      <c r="D12" s="67">
        <f>IF(ISBLANK('📦 商品出厂底价库 (Products)'!A10), "", '📦 商品出厂底价库 (Products)'!E10)</f>
      </c>
      <c r="E12" s="68">
        <f>IF(ISBLANK('📦 商品出厂底价库 (Products)'!A10), "", '📦 商品出厂底价库 (Products)'!N10)</f>
      </c>
      <c r="F12" s="67">
        <f>IF(ISBLANK('📦 商品出厂底价库 (Products)'!A10), "", '📦 商品出厂底价库 (Products)'!F10)</f>
      </c>
      <c r="G12" s="67">
        <f>IF(ISBLANK('📦 商品出厂底价库 (Products)'!A10), "", '📦 商品出厂底价库 (Products)'!O10)</f>
      </c>
      <c r="H12" s="67">
        <f>IF(ISBLANK('📦 商品出厂底价库 (Products)'!A10), "", '📦 商品出厂底价库 (Products)'!P10)</f>
      </c>
      <c r="I12" s="65">
        <f>IF(ISBLANK('📦 商品出厂底价库 (Products)'!A10), "", '📦 商品出厂底价库 (Products)'!J10)</f>
      </c>
    </row>
    <row r="13" ht="26" customHeight="1" spans="1:9" x14ac:dyDescent="0.25">
      <c r="A13" s="69">
        <f>IF(ISBLANK('📦 商品出厂底价库 (Products)'!A11), "", 10)</f>
      </c>
      <c r="B13" s="69">
        <f>IF(ISBLANK('📦 商品出厂底价库 (Products)'!A11), "", '📦 商品出厂底价库 (Products)'!A11)</f>
      </c>
      <c r="C13" s="70">
        <f>IF(ISBLANK('📦 商品出厂底价库 (Products)'!A11), "", '📦 商品出厂底价库 (Products)'!C11)</f>
      </c>
      <c r="D13" s="71">
        <f>IF(ISBLANK('📦 商品出厂底价库 (Products)'!A11), "", '📦 商品出厂底价库 (Products)'!E11)</f>
      </c>
      <c r="E13" s="72">
        <f>IF(ISBLANK('📦 商品出厂底价库 (Products)'!A11), "", '📦 商品出厂底价库 (Products)'!N11)</f>
      </c>
      <c r="F13" s="71">
        <f>IF(ISBLANK('📦 商品出厂底价库 (Products)'!A11), "", '📦 商品出厂底价库 (Products)'!F11)</f>
      </c>
      <c r="G13" s="71">
        <f>IF(ISBLANK('📦 商品出厂底价库 (Products)'!A11), "", '📦 商品出厂底价库 (Products)'!O11)</f>
      </c>
      <c r="H13" s="71">
        <f>IF(ISBLANK('📦 商品出厂底价库 (Products)'!A11), "", '📦 商品出厂底价库 (Products)'!P11)</f>
      </c>
      <c r="I13" s="69">
        <f>IF(ISBLANK('📦 商品出厂底价库 (Products)'!A11), "", '📦 商品出厂底价库 (Products)'!J11)</f>
      </c>
    </row>
    <row r="14" ht="26" customHeight="1" spans="1:9" x14ac:dyDescent="0.25">
      <c r="A14" s="65">
        <f>IF(ISBLANK('📦 商品出厂底价库 (Products)'!A12), "", 11)</f>
      </c>
      <c r="B14" s="65">
        <f>IF(ISBLANK('📦 商品出厂底价库 (Products)'!A12), "", '📦 商品出厂底价库 (Products)'!A12)</f>
      </c>
      <c r="C14" s="66">
        <f>IF(ISBLANK('📦 商品出厂底价库 (Products)'!A12), "", '📦 商品出厂底价库 (Products)'!C12)</f>
      </c>
      <c r="D14" s="67">
        <f>IF(ISBLANK('📦 商品出厂底价库 (Products)'!A12), "", '📦 商品出厂底价库 (Products)'!E12)</f>
      </c>
      <c r="E14" s="68">
        <f>IF(ISBLANK('📦 商品出厂底价库 (Products)'!A12), "", '📦 商品出厂底价库 (Products)'!N12)</f>
      </c>
      <c r="F14" s="67">
        <f>IF(ISBLANK('📦 商品出厂底价库 (Products)'!A12), "", '📦 商品出厂底价库 (Products)'!F12)</f>
      </c>
      <c r="G14" s="67">
        <f>IF(ISBLANK('📦 商品出厂底价库 (Products)'!A12), "", '📦 商品出厂底价库 (Products)'!O12)</f>
      </c>
      <c r="H14" s="67">
        <f>IF(ISBLANK('📦 商品出厂底价库 (Products)'!A12), "", '📦 商品出厂底价库 (Products)'!P12)</f>
      </c>
      <c r="I14" s="65">
        <f>IF(ISBLANK('📦 商品出厂底价库 (Products)'!A12), "", '📦 商品出厂底价库 (Products)'!J12)</f>
      </c>
    </row>
    <row r="15" ht="26" customHeight="1" spans="1:9" x14ac:dyDescent="0.25">
      <c r="A15" s="69">
        <f>IF(ISBLANK('📦 商品出厂底价库 (Products)'!A13), "", 12)</f>
      </c>
      <c r="B15" s="69">
        <f>IF(ISBLANK('📦 商品出厂底价库 (Products)'!A13), "", '📦 商品出厂底价库 (Products)'!A13)</f>
      </c>
      <c r="C15" s="70">
        <f>IF(ISBLANK('📦 商品出厂底价库 (Products)'!A13), "", '📦 商品出厂底价库 (Products)'!C13)</f>
      </c>
      <c r="D15" s="71">
        <f>IF(ISBLANK('📦 商品出厂底价库 (Products)'!A13), "", '📦 商品出厂底价库 (Products)'!E13)</f>
      </c>
      <c r="E15" s="72">
        <f>IF(ISBLANK('📦 商品出厂底价库 (Products)'!A13), "", '📦 商品出厂底价库 (Products)'!N13)</f>
      </c>
      <c r="F15" s="71">
        <f>IF(ISBLANK('📦 商品出厂底价库 (Products)'!A13), "", '📦 商品出厂底价库 (Products)'!F13)</f>
      </c>
      <c r="G15" s="71">
        <f>IF(ISBLANK('📦 商品出厂底价库 (Products)'!A13), "", '📦 商品出厂底价库 (Products)'!O13)</f>
      </c>
      <c r="H15" s="71">
        <f>IF(ISBLANK('📦 商品出厂底价库 (Products)'!A13), "", '📦 商品出厂底价库 (Products)'!P13)</f>
      </c>
      <c r="I15" s="69">
        <f>IF(ISBLANK('📦 商品出厂底价库 (Products)'!A13), "", '📦 商品出厂底价库 (Products)'!J13)</f>
      </c>
    </row>
    <row r="16" ht="26" customHeight="1" spans="1:9" x14ac:dyDescent="0.25">
      <c r="A16" s="65">
        <f>IF(ISBLANK('📦 商品出厂底价库 (Products)'!A14), "", 13)</f>
      </c>
      <c r="B16" s="65">
        <f>IF(ISBLANK('📦 商品出厂底价库 (Products)'!A14), "", '📦 商品出厂底价库 (Products)'!A14)</f>
      </c>
      <c r="C16" s="66">
        <f>IF(ISBLANK('📦 商品出厂底价库 (Products)'!A14), "", '📦 商品出厂底价库 (Products)'!C14)</f>
      </c>
      <c r="D16" s="67">
        <f>IF(ISBLANK('📦 商品出厂底价库 (Products)'!A14), "", '📦 商品出厂底价库 (Products)'!E14)</f>
      </c>
      <c r="E16" s="68">
        <f>IF(ISBLANK('📦 商品出厂底价库 (Products)'!A14), "", '📦 商品出厂底价库 (Products)'!N14)</f>
      </c>
      <c r="F16" s="67">
        <f>IF(ISBLANK('📦 商品出厂底价库 (Products)'!A14), "", '📦 商品出厂底价库 (Products)'!F14)</f>
      </c>
      <c r="G16" s="67">
        <f>IF(ISBLANK('📦 商品出厂底价库 (Products)'!A14), "", '📦 商品出厂底价库 (Products)'!O14)</f>
      </c>
      <c r="H16" s="67">
        <f>IF(ISBLANK('📦 商品出厂底价库 (Products)'!A14), "", '📦 商品出厂底价库 (Products)'!P14)</f>
      </c>
      <c r="I16" s="65">
        <f>IF(ISBLANK('📦 商品出厂底价库 (Products)'!A14), "", '📦 商品出厂底价库 (Products)'!J14)</f>
      </c>
    </row>
    <row r="17" ht="26" customHeight="1" spans="1:9" x14ac:dyDescent="0.25">
      <c r="A17" s="69">
        <f>IF(ISBLANK('📦 商品出厂底价库 (Products)'!A15), "", 14)</f>
      </c>
      <c r="B17" s="69">
        <f>IF(ISBLANK('📦 商品出厂底价库 (Products)'!A15), "", '📦 商品出厂底价库 (Products)'!A15)</f>
      </c>
      <c r="C17" s="70">
        <f>IF(ISBLANK('📦 商品出厂底价库 (Products)'!A15), "", '📦 商品出厂底价库 (Products)'!C15)</f>
      </c>
      <c r="D17" s="71">
        <f>IF(ISBLANK('📦 商品出厂底价库 (Products)'!A15), "", '📦 商品出厂底价库 (Products)'!E15)</f>
      </c>
      <c r="E17" s="72">
        <f>IF(ISBLANK('📦 商品出厂底价库 (Products)'!A15), "", '📦 商品出厂底价库 (Products)'!N15)</f>
      </c>
      <c r="F17" s="71">
        <f>IF(ISBLANK('📦 商品出厂底价库 (Products)'!A15), "", '📦 商品出厂底价库 (Products)'!F15)</f>
      </c>
      <c r="G17" s="71">
        <f>IF(ISBLANK('📦 商品出厂底价库 (Products)'!A15), "", '📦 商品出厂底价库 (Products)'!O15)</f>
      </c>
      <c r="H17" s="71">
        <f>IF(ISBLANK('📦 商品出厂底价库 (Products)'!A15), "", '📦 商品出厂底价库 (Products)'!P15)</f>
      </c>
      <c r="I17" s="69">
        <f>IF(ISBLANK('📦 商品出厂底价库 (Products)'!A15), "", '📦 商品出厂底价库 (Products)'!J15)</f>
      </c>
    </row>
    <row r="18" ht="26" customHeight="1" spans="1:9" x14ac:dyDescent="0.25">
      <c r="A18" s="65">
        <f>IF(ISBLANK('📦 商品出厂底价库 (Products)'!A16), "", 15)</f>
      </c>
      <c r="B18" s="65">
        <f>IF(ISBLANK('📦 商品出厂底价库 (Products)'!A16), "", '📦 商品出厂底价库 (Products)'!A16)</f>
      </c>
      <c r="C18" s="66">
        <f>IF(ISBLANK('📦 商品出厂底价库 (Products)'!A16), "", '📦 商品出厂底价库 (Products)'!C16)</f>
      </c>
      <c r="D18" s="67">
        <f>IF(ISBLANK('📦 商品出厂底价库 (Products)'!A16), "", '📦 商品出厂底价库 (Products)'!E16)</f>
      </c>
      <c r="E18" s="68">
        <f>IF(ISBLANK('📦 商品出厂底价库 (Products)'!A16), "", '📦 商品出厂底价库 (Products)'!N16)</f>
      </c>
      <c r="F18" s="67">
        <f>IF(ISBLANK('📦 商品出厂底价库 (Products)'!A16), "", '📦 商品出厂底价库 (Products)'!F16)</f>
      </c>
      <c r="G18" s="67">
        <f>IF(ISBLANK('📦 商品出厂底价库 (Products)'!A16), "", '📦 商品出厂底价库 (Products)'!O16)</f>
      </c>
      <c r="H18" s="67">
        <f>IF(ISBLANK('📦 商品出厂底价库 (Products)'!A16), "", '📦 商品出厂底价库 (Products)'!P16)</f>
      </c>
      <c r="I18" s="65">
        <f>IF(ISBLANK('📦 商品出厂底价库 (Products)'!A16), "", '📦 商品出厂底价库 (Products)'!J16)</f>
      </c>
    </row>
    <row r="19" ht="26" customHeight="1" spans="1:9" x14ac:dyDescent="0.25">
      <c r="A19" s="69">
        <f>IF(ISBLANK('📦 商品出厂底价库 (Products)'!A17), "", 16)</f>
      </c>
      <c r="B19" s="69">
        <f>IF(ISBLANK('📦 商品出厂底价库 (Products)'!A17), "", '📦 商品出厂底价库 (Products)'!A17)</f>
      </c>
      <c r="C19" s="70">
        <f>IF(ISBLANK('📦 商品出厂底价库 (Products)'!A17), "", '📦 商品出厂底价库 (Products)'!C17)</f>
      </c>
      <c r="D19" s="71">
        <f>IF(ISBLANK('📦 商品出厂底价库 (Products)'!A17), "", '📦 商品出厂底价库 (Products)'!E17)</f>
      </c>
      <c r="E19" s="72">
        <f>IF(ISBLANK('📦 商品出厂底价库 (Products)'!A17), "", '📦 商品出厂底价库 (Products)'!N17)</f>
      </c>
      <c r="F19" s="71">
        <f>IF(ISBLANK('📦 商品出厂底价库 (Products)'!A17), "", '📦 商品出厂底价库 (Products)'!F17)</f>
      </c>
      <c r="G19" s="71">
        <f>IF(ISBLANK('📦 商品出厂底价库 (Products)'!A17), "", '📦 商品出厂底价库 (Products)'!O17)</f>
      </c>
      <c r="H19" s="71">
        <f>IF(ISBLANK('📦 商品出厂底价库 (Products)'!A17), "", '📦 商品出厂底价库 (Products)'!P17)</f>
      </c>
      <c r="I19" s="69">
        <f>IF(ISBLANK('📦 商品出厂底价库 (Products)'!A17), "", '📦 商品出厂底价库 (Products)'!J17)</f>
      </c>
    </row>
    <row r="20" ht="26" customHeight="1" spans="1:9" x14ac:dyDescent="0.25">
      <c r="A20" s="65">
        <f>IF(ISBLANK('📦 商品出厂底价库 (Products)'!A18), "", 17)</f>
      </c>
      <c r="B20" s="65">
        <f>IF(ISBLANK('📦 商品出厂底价库 (Products)'!A18), "", '📦 商品出厂底价库 (Products)'!A18)</f>
      </c>
      <c r="C20" s="66">
        <f>IF(ISBLANK('📦 商品出厂底价库 (Products)'!A18), "", '📦 商品出厂底价库 (Products)'!C18)</f>
      </c>
      <c r="D20" s="67">
        <f>IF(ISBLANK('📦 商品出厂底价库 (Products)'!A18), "", '📦 商品出厂底价库 (Products)'!E18)</f>
      </c>
      <c r="E20" s="68">
        <f>IF(ISBLANK('📦 商品出厂底价库 (Products)'!A18), "", '📦 商品出厂底价库 (Products)'!N18)</f>
      </c>
      <c r="F20" s="67">
        <f>IF(ISBLANK('📦 商品出厂底价库 (Products)'!A18), "", '📦 商品出厂底价库 (Products)'!F18)</f>
      </c>
      <c r="G20" s="67">
        <f>IF(ISBLANK('📦 商品出厂底价库 (Products)'!A18), "", '📦 商品出厂底价库 (Products)'!O18)</f>
      </c>
      <c r="H20" s="67">
        <f>IF(ISBLANK('📦 商品出厂底价库 (Products)'!A18), "", '📦 商品出厂底价库 (Products)'!P18)</f>
      </c>
      <c r="I20" s="65">
        <f>IF(ISBLANK('📦 商品出厂底价库 (Products)'!A18), "", '📦 商品出厂底价库 (Products)'!J18)</f>
      </c>
    </row>
    <row r="21" ht="26" customHeight="1" spans="1:9" x14ac:dyDescent="0.25">
      <c r="A21" s="69">
        <f>IF(ISBLANK('📦 商品出厂底价库 (Products)'!A19), "", 18)</f>
      </c>
      <c r="B21" s="69">
        <f>IF(ISBLANK('📦 商品出厂底价库 (Products)'!A19), "", '📦 商品出厂底价库 (Products)'!A19)</f>
      </c>
      <c r="C21" s="70">
        <f>IF(ISBLANK('📦 商品出厂底价库 (Products)'!A19), "", '📦 商品出厂底价库 (Products)'!C19)</f>
      </c>
      <c r="D21" s="71">
        <f>IF(ISBLANK('📦 商品出厂底价库 (Products)'!A19), "", '📦 商品出厂底价库 (Products)'!E19)</f>
      </c>
      <c r="E21" s="72">
        <f>IF(ISBLANK('📦 商品出厂底价库 (Products)'!A19), "", '📦 商品出厂底价库 (Products)'!N19)</f>
      </c>
      <c r="F21" s="71">
        <f>IF(ISBLANK('📦 商品出厂底价库 (Products)'!A19), "", '📦 商品出厂底价库 (Products)'!F19)</f>
      </c>
      <c r="G21" s="71">
        <f>IF(ISBLANK('📦 商品出厂底价库 (Products)'!A19), "", '📦 商品出厂底价库 (Products)'!O19)</f>
      </c>
      <c r="H21" s="71">
        <f>IF(ISBLANK('📦 商品出厂底价库 (Products)'!A19), "", '📦 商品出厂底价库 (Products)'!P19)</f>
      </c>
      <c r="I21" s="69">
        <f>IF(ISBLANK('📦 商品出厂底价库 (Products)'!A19), "", '📦 商品出厂底价库 (Products)'!J19)</f>
      </c>
    </row>
    <row r="22" ht="26" customHeight="1" spans="1:9" x14ac:dyDescent="0.25">
      <c r="A22" s="65">
        <f>IF(ISBLANK('📦 商品出厂底价库 (Products)'!A20), "", 19)</f>
      </c>
      <c r="B22" s="65">
        <f>IF(ISBLANK('📦 商品出厂底价库 (Products)'!A20), "", '📦 商品出厂底价库 (Products)'!A20)</f>
      </c>
      <c r="C22" s="66">
        <f>IF(ISBLANK('📦 商品出厂底价库 (Products)'!A20), "", '📦 商品出厂底价库 (Products)'!C20)</f>
      </c>
      <c r="D22" s="67">
        <f>IF(ISBLANK('📦 商品出厂底价库 (Products)'!A20), "", '📦 商品出厂底价库 (Products)'!E20)</f>
      </c>
      <c r="E22" s="68">
        <f>IF(ISBLANK('📦 商品出厂底价库 (Products)'!A20), "", '📦 商品出厂底价库 (Products)'!N20)</f>
      </c>
      <c r="F22" s="67">
        <f>IF(ISBLANK('📦 商品出厂底价库 (Products)'!A20), "", '📦 商品出厂底价库 (Products)'!F20)</f>
      </c>
      <c r="G22" s="67">
        <f>IF(ISBLANK('📦 商品出厂底价库 (Products)'!A20), "", '📦 商品出厂底价库 (Products)'!O20)</f>
      </c>
      <c r="H22" s="67">
        <f>IF(ISBLANK('📦 商品出厂底价库 (Products)'!A20), "", '📦 商品出厂底价库 (Products)'!P20)</f>
      </c>
      <c r="I22" s="65">
        <f>IF(ISBLANK('📦 商品出厂底价库 (Products)'!A20), "", '📦 商品出厂底价库 (Products)'!J20)</f>
      </c>
    </row>
    <row r="23" ht="26" customHeight="1" spans="1:9" x14ac:dyDescent="0.25">
      <c r="A23" s="69">
        <f>IF(ISBLANK('📦 商品出厂底价库 (Products)'!A21), "", 20)</f>
      </c>
      <c r="B23" s="69">
        <f>IF(ISBLANK('📦 商品出厂底价库 (Products)'!A21), "", '📦 商品出厂底价库 (Products)'!A21)</f>
      </c>
      <c r="C23" s="70">
        <f>IF(ISBLANK('📦 商品出厂底价库 (Products)'!A21), "", '📦 商品出厂底价库 (Products)'!C21)</f>
      </c>
      <c r="D23" s="71">
        <f>IF(ISBLANK('📦 商品出厂底价库 (Products)'!A21), "", '📦 商品出厂底价库 (Products)'!E21)</f>
      </c>
      <c r="E23" s="72">
        <f>IF(ISBLANK('📦 商品出厂底价库 (Products)'!A21), "", '📦 商品出厂底价库 (Products)'!N21)</f>
      </c>
      <c r="F23" s="71">
        <f>IF(ISBLANK('📦 商品出厂底价库 (Products)'!A21), "", '📦 商品出厂底价库 (Products)'!F21)</f>
      </c>
      <c r="G23" s="71">
        <f>IF(ISBLANK('📦 商品出厂底价库 (Products)'!A21), "", '📦 商品出厂底价库 (Products)'!O21)</f>
      </c>
      <c r="H23" s="71">
        <f>IF(ISBLANK('📦 商品出厂底价库 (Products)'!A21), "", '📦 商品出厂底价库 (Products)'!P21)</f>
      </c>
      <c r="I23" s="69">
        <f>IF(ISBLANK('📦 商品出厂底价库 (Products)'!A21), "", '📦 商品出厂底价库 (Products)'!J21)</f>
      </c>
    </row>
    <row r="24" ht="26" customHeight="1" spans="1:9" x14ac:dyDescent="0.25">
      <c r="A24" s="65">
        <f>IF(ISBLANK('📦 商品出厂底价库 (Products)'!A22), "", 21)</f>
      </c>
      <c r="B24" s="65">
        <f>IF(ISBLANK('📦 商品出厂底价库 (Products)'!A22), "", '📦 商品出厂底价库 (Products)'!A22)</f>
      </c>
      <c r="C24" s="66">
        <f>IF(ISBLANK('📦 商品出厂底价库 (Products)'!A22), "", '📦 商品出厂底价库 (Products)'!C22)</f>
      </c>
      <c r="D24" s="67">
        <f>IF(ISBLANK('📦 商品出厂底价库 (Products)'!A22), "", '📦 商品出厂底价库 (Products)'!E22)</f>
      </c>
      <c r="E24" s="68">
        <f>IF(ISBLANK('📦 商品出厂底价库 (Products)'!A22), "", '📦 商品出厂底价库 (Products)'!N22)</f>
      </c>
      <c r="F24" s="67">
        <f>IF(ISBLANK('📦 商品出厂底价库 (Products)'!A22), "", '📦 商品出厂底价库 (Products)'!F22)</f>
      </c>
      <c r="G24" s="67">
        <f>IF(ISBLANK('📦 商品出厂底价库 (Products)'!A22), "", '📦 商品出厂底价库 (Products)'!O22)</f>
      </c>
      <c r="H24" s="67">
        <f>IF(ISBLANK('📦 商品出厂底价库 (Products)'!A22), "", '📦 商品出厂底价库 (Products)'!P22)</f>
      </c>
      <c r="I24" s="65">
        <f>IF(ISBLANK('📦 商品出厂底价库 (Products)'!A22), "", '📦 商品出厂底价库 (Products)'!J22)</f>
      </c>
    </row>
    <row r="25" ht="26" customHeight="1" spans="1:9" x14ac:dyDescent="0.25">
      <c r="A25" s="69">
        <f>IF(ISBLANK('📦 商品出厂底价库 (Products)'!A23), "", 22)</f>
      </c>
      <c r="B25" s="69">
        <f>IF(ISBLANK('📦 商品出厂底价库 (Products)'!A23), "", '📦 商品出厂底价库 (Products)'!A23)</f>
      </c>
      <c r="C25" s="70">
        <f>IF(ISBLANK('📦 商品出厂底价库 (Products)'!A23), "", '📦 商品出厂底价库 (Products)'!C23)</f>
      </c>
      <c r="D25" s="71">
        <f>IF(ISBLANK('📦 商品出厂底价库 (Products)'!A23), "", '📦 商品出厂底价库 (Products)'!E23)</f>
      </c>
      <c r="E25" s="72">
        <f>IF(ISBLANK('📦 商品出厂底价库 (Products)'!A23), "", '📦 商品出厂底价库 (Products)'!N23)</f>
      </c>
      <c r="F25" s="71">
        <f>IF(ISBLANK('📦 商品出厂底价库 (Products)'!A23), "", '📦 商品出厂底价库 (Products)'!F23)</f>
      </c>
      <c r="G25" s="71">
        <f>IF(ISBLANK('📦 商品出厂底价库 (Products)'!A23), "", '📦 商品出厂底价库 (Products)'!O23)</f>
      </c>
      <c r="H25" s="71">
        <f>IF(ISBLANK('📦 商品出厂底价库 (Products)'!A23), "", '📦 商品出厂底价库 (Products)'!P23)</f>
      </c>
      <c r="I25" s="69">
        <f>IF(ISBLANK('📦 商品出厂底价库 (Products)'!A23), "", '📦 商品出厂底价库 (Products)'!J23)</f>
      </c>
    </row>
    <row r="26" ht="26" customHeight="1" spans="1:9" x14ac:dyDescent="0.25">
      <c r="A26" s="65">
        <f>IF(ISBLANK('📦 商品出厂底价库 (Products)'!A24), "", 23)</f>
      </c>
      <c r="B26" s="65">
        <f>IF(ISBLANK('📦 商品出厂底价库 (Products)'!A24), "", '📦 商品出厂底价库 (Products)'!A24)</f>
      </c>
      <c r="C26" s="66">
        <f>IF(ISBLANK('📦 商品出厂底价库 (Products)'!A24), "", '📦 商品出厂底价库 (Products)'!C24)</f>
      </c>
      <c r="D26" s="67">
        <f>IF(ISBLANK('📦 商品出厂底价库 (Products)'!A24), "", '📦 商品出厂底价库 (Products)'!E24)</f>
      </c>
      <c r="E26" s="68">
        <f>IF(ISBLANK('📦 商品出厂底价库 (Products)'!A24), "", '📦 商品出厂底价库 (Products)'!N24)</f>
      </c>
      <c r="F26" s="67">
        <f>IF(ISBLANK('📦 商品出厂底价库 (Products)'!A24), "", '📦 商品出厂底价库 (Products)'!F24)</f>
      </c>
      <c r="G26" s="67">
        <f>IF(ISBLANK('📦 商品出厂底价库 (Products)'!A24), "", '📦 商品出厂底价库 (Products)'!O24)</f>
      </c>
      <c r="H26" s="67">
        <f>IF(ISBLANK('📦 商品出厂底价库 (Products)'!A24), "", '📦 商品出厂底价库 (Products)'!P24)</f>
      </c>
      <c r="I26" s="65">
        <f>IF(ISBLANK('📦 商品出厂底价库 (Products)'!A24), "", '📦 商品出厂底价库 (Products)'!J24)</f>
      </c>
    </row>
    <row r="27" ht="26" customHeight="1" spans="1:9" x14ac:dyDescent="0.25">
      <c r="A27" s="69">
        <f>IF(ISBLANK('📦 商品出厂底价库 (Products)'!A25), "", 24)</f>
      </c>
      <c r="B27" s="69">
        <f>IF(ISBLANK('📦 商品出厂底价库 (Products)'!A25), "", '📦 商品出厂底价库 (Products)'!A25)</f>
      </c>
      <c r="C27" s="70">
        <f>IF(ISBLANK('📦 商品出厂底价库 (Products)'!A25), "", '📦 商品出厂底价库 (Products)'!C25)</f>
      </c>
      <c r="D27" s="71">
        <f>IF(ISBLANK('📦 商品出厂底价库 (Products)'!A25), "", '📦 商品出厂底价库 (Products)'!E25)</f>
      </c>
      <c r="E27" s="72">
        <f>IF(ISBLANK('📦 商品出厂底价库 (Products)'!A25), "", '📦 商品出厂底价库 (Products)'!N25)</f>
      </c>
      <c r="F27" s="71">
        <f>IF(ISBLANK('📦 商品出厂底价库 (Products)'!A25), "", '📦 商品出厂底价库 (Products)'!F25)</f>
      </c>
      <c r="G27" s="71">
        <f>IF(ISBLANK('📦 商品出厂底价库 (Products)'!A25), "", '📦 商品出厂底价库 (Products)'!O25)</f>
      </c>
      <c r="H27" s="71">
        <f>IF(ISBLANK('📦 商品出厂底价库 (Products)'!A25), "", '📦 商品出厂底价库 (Products)'!P25)</f>
      </c>
      <c r="I27" s="69">
        <f>IF(ISBLANK('📦 商品出厂底价库 (Products)'!A25), "", '📦 商品出厂底价库 (Products)'!J25)</f>
      </c>
    </row>
    <row r="28" ht="26" customHeight="1" spans="1:9" x14ac:dyDescent="0.25">
      <c r="A28" s="65">
        <f>IF(ISBLANK('📦 商品出厂底价库 (Products)'!A26), "", 25)</f>
      </c>
      <c r="B28" s="65">
        <f>IF(ISBLANK('📦 商品出厂底价库 (Products)'!A26), "", '📦 商品出厂底价库 (Products)'!A26)</f>
      </c>
      <c r="C28" s="66">
        <f>IF(ISBLANK('📦 商品出厂底价库 (Products)'!A26), "", '📦 商品出厂底价库 (Products)'!C26)</f>
      </c>
      <c r="D28" s="67">
        <f>IF(ISBLANK('📦 商品出厂底价库 (Products)'!A26), "", '📦 商品出厂底价库 (Products)'!E26)</f>
      </c>
      <c r="E28" s="68">
        <f>IF(ISBLANK('📦 商品出厂底价库 (Products)'!A26), "", '📦 商品出厂底价库 (Products)'!N26)</f>
      </c>
      <c r="F28" s="67">
        <f>IF(ISBLANK('📦 商品出厂底价库 (Products)'!A26), "", '📦 商品出厂底价库 (Products)'!F26)</f>
      </c>
      <c r="G28" s="67">
        <f>IF(ISBLANK('📦 商品出厂底价库 (Products)'!A26), "", '📦 商品出厂底价库 (Products)'!O26)</f>
      </c>
      <c r="H28" s="67">
        <f>IF(ISBLANK('📦 商品出厂底价库 (Products)'!A26), "", '📦 商品出厂底价库 (Products)'!P26)</f>
      </c>
      <c r="I28" s="65">
        <f>IF(ISBLANK('📦 商品出厂底价库 (Products)'!A26), "", '📦 商品出厂底价库 (Products)'!J26)</f>
      </c>
    </row>
    <row r="29" ht="26" customHeight="1" spans="1:9" x14ac:dyDescent="0.25">
      <c r="A29" s="69">
        <f>IF(ISBLANK('📦 商品出厂底价库 (Products)'!A27), "", 26)</f>
      </c>
      <c r="B29" s="69">
        <f>IF(ISBLANK('📦 商品出厂底价库 (Products)'!A27), "", '📦 商品出厂底价库 (Products)'!A27)</f>
      </c>
      <c r="C29" s="70">
        <f>IF(ISBLANK('📦 商品出厂底价库 (Products)'!A27), "", '📦 商品出厂底价库 (Products)'!C27)</f>
      </c>
      <c r="D29" s="71">
        <f>IF(ISBLANK('📦 商品出厂底价库 (Products)'!A27), "", '📦 商品出厂底价库 (Products)'!E27)</f>
      </c>
      <c r="E29" s="72">
        <f>IF(ISBLANK('📦 商品出厂底价库 (Products)'!A27), "", '📦 商品出厂底价库 (Products)'!N27)</f>
      </c>
      <c r="F29" s="71">
        <f>IF(ISBLANK('📦 商品出厂底价库 (Products)'!A27), "", '📦 商品出厂底价库 (Products)'!F27)</f>
      </c>
      <c r="G29" s="71">
        <f>IF(ISBLANK('📦 商品出厂底价库 (Products)'!A27), "", '📦 商品出厂底价库 (Products)'!O27)</f>
      </c>
      <c r="H29" s="71">
        <f>IF(ISBLANK('📦 商品出厂底价库 (Products)'!A27), "", '📦 商品出厂底价库 (Products)'!P27)</f>
      </c>
      <c r="I29" s="69">
        <f>IF(ISBLANK('📦 商品出厂底价库 (Products)'!A27), "", '📦 商品出厂底价库 (Products)'!J27)</f>
      </c>
    </row>
    <row r="30" ht="26" customHeight="1" spans="1:9" x14ac:dyDescent="0.25">
      <c r="A30" s="65">
        <f>IF(ISBLANK('📦 商品出厂底价库 (Products)'!A28), "", 27)</f>
      </c>
      <c r="B30" s="65">
        <f>IF(ISBLANK('📦 商品出厂底价库 (Products)'!A28), "", '📦 商品出厂底价库 (Products)'!A28)</f>
      </c>
      <c r="C30" s="66">
        <f>IF(ISBLANK('📦 商品出厂底价库 (Products)'!A28), "", '📦 商品出厂底价库 (Products)'!C28)</f>
      </c>
      <c r="D30" s="67">
        <f>IF(ISBLANK('📦 商品出厂底价库 (Products)'!A28), "", '📦 商品出厂底价库 (Products)'!E28)</f>
      </c>
      <c r="E30" s="68">
        <f>IF(ISBLANK('📦 商品出厂底价库 (Products)'!A28), "", '📦 商品出厂底价库 (Products)'!N28)</f>
      </c>
      <c r="F30" s="67">
        <f>IF(ISBLANK('📦 商品出厂底价库 (Products)'!A28), "", '📦 商品出厂底价库 (Products)'!F28)</f>
      </c>
      <c r="G30" s="67">
        <f>IF(ISBLANK('📦 商品出厂底价库 (Products)'!A28), "", '📦 商品出厂底价库 (Products)'!O28)</f>
      </c>
      <c r="H30" s="67">
        <f>IF(ISBLANK('📦 商品出厂底价库 (Products)'!A28), "", '📦 商品出厂底价库 (Products)'!P28)</f>
      </c>
      <c r="I30" s="65">
        <f>IF(ISBLANK('📦 商品出厂底价库 (Products)'!A28), "", '📦 商品出厂底价库 (Products)'!J28)</f>
      </c>
    </row>
    <row r="31" ht="26" customHeight="1" spans="1:9" x14ac:dyDescent="0.25">
      <c r="A31" s="69">
        <f>IF(ISBLANK('📦 商品出厂底价库 (Products)'!A29), "", 28)</f>
      </c>
      <c r="B31" s="69">
        <f>IF(ISBLANK('📦 商品出厂底价库 (Products)'!A29), "", '📦 商品出厂底价库 (Products)'!A29)</f>
      </c>
      <c r="C31" s="70">
        <f>IF(ISBLANK('📦 商品出厂底价库 (Products)'!A29), "", '📦 商品出厂底价库 (Products)'!C29)</f>
      </c>
      <c r="D31" s="71">
        <f>IF(ISBLANK('📦 商品出厂底价库 (Products)'!A29), "", '📦 商品出厂底价库 (Products)'!E29)</f>
      </c>
      <c r="E31" s="72">
        <f>IF(ISBLANK('📦 商品出厂底价库 (Products)'!A29), "", '📦 商品出厂底价库 (Products)'!N29)</f>
      </c>
      <c r="F31" s="71">
        <f>IF(ISBLANK('📦 商品出厂底价库 (Products)'!A29), "", '📦 商品出厂底价库 (Products)'!F29)</f>
      </c>
      <c r="G31" s="71">
        <f>IF(ISBLANK('📦 商品出厂底价库 (Products)'!A29), "", '📦 商品出厂底价库 (Products)'!O29)</f>
      </c>
      <c r="H31" s="71">
        <f>IF(ISBLANK('📦 商品出厂底价库 (Products)'!A29), "", '📦 商品出厂底价库 (Products)'!P29)</f>
      </c>
      <c r="I31" s="69">
        <f>IF(ISBLANK('📦 商品出厂底价库 (Products)'!A29), "", '📦 商品出厂底价库 (Products)'!J29)</f>
      </c>
    </row>
    <row r="32" ht="26" customHeight="1" spans="1:9" x14ac:dyDescent="0.25">
      <c r="A32" s="65">
        <f>IF(ISBLANK('📦 商品出厂底价库 (Products)'!A30), "", 29)</f>
      </c>
      <c r="B32" s="65">
        <f>IF(ISBLANK('📦 商品出厂底价库 (Products)'!A30), "", '📦 商品出厂底价库 (Products)'!A30)</f>
      </c>
      <c r="C32" s="66">
        <f>IF(ISBLANK('📦 商品出厂底价库 (Products)'!A30), "", '📦 商品出厂底价库 (Products)'!C30)</f>
      </c>
      <c r="D32" s="67">
        <f>IF(ISBLANK('📦 商品出厂底价库 (Products)'!A30), "", '📦 商品出厂底价库 (Products)'!E30)</f>
      </c>
      <c r="E32" s="68">
        <f>IF(ISBLANK('📦 商品出厂底价库 (Products)'!A30), "", '📦 商品出厂底价库 (Products)'!N30)</f>
      </c>
      <c r="F32" s="67">
        <f>IF(ISBLANK('📦 商品出厂底价库 (Products)'!A30), "", '📦 商品出厂底价库 (Products)'!F30)</f>
      </c>
      <c r="G32" s="67">
        <f>IF(ISBLANK('📦 商品出厂底价库 (Products)'!A30), "", '📦 商品出厂底价库 (Products)'!O30)</f>
      </c>
      <c r="H32" s="67">
        <f>IF(ISBLANK('📦 商品出厂底价库 (Products)'!A30), "", '📦 商品出厂底价库 (Products)'!P30)</f>
      </c>
      <c r="I32" s="65">
        <f>IF(ISBLANK('📦 商品出厂底价库 (Products)'!A30), "", '📦 商品出厂底价库 (Products)'!J30)</f>
      </c>
    </row>
    <row r="33" ht="26" customHeight="1" spans="1:9" x14ac:dyDescent="0.25">
      <c r="A33" s="69">
        <f>IF(ISBLANK('📦 商品出厂底价库 (Products)'!A31), "", 30)</f>
      </c>
      <c r="B33" s="69">
        <f>IF(ISBLANK('📦 商品出厂底价库 (Products)'!A31), "", '📦 商品出厂底价库 (Products)'!A31)</f>
      </c>
      <c r="C33" s="70">
        <f>IF(ISBLANK('📦 商品出厂底价库 (Products)'!A31), "", '📦 商品出厂底价库 (Products)'!C31)</f>
      </c>
      <c r="D33" s="71">
        <f>IF(ISBLANK('📦 商品出厂底价库 (Products)'!A31), "", '📦 商品出厂底价库 (Products)'!E31)</f>
      </c>
      <c r="E33" s="72">
        <f>IF(ISBLANK('📦 商品出厂底价库 (Products)'!A31), "", '📦 商品出厂底价库 (Products)'!N31)</f>
      </c>
      <c r="F33" s="71">
        <f>IF(ISBLANK('📦 商品出厂底价库 (Products)'!A31), "", '📦 商品出厂底价库 (Products)'!F31)</f>
      </c>
      <c r="G33" s="71">
        <f>IF(ISBLANK('📦 商品出厂底价库 (Products)'!A31), "", '📦 商品出厂底价库 (Products)'!O31)</f>
      </c>
      <c r="H33" s="71">
        <f>IF(ISBLANK('📦 商品出厂底价库 (Products)'!A31), "", '📦 商品出厂底价库 (Products)'!P31)</f>
      </c>
      <c r="I33" s="69">
        <f>IF(ISBLANK('📦 商品出厂底价库 (Products)'!A31), "", '📦 商品出厂底价库 (Products)'!J31)</f>
      </c>
    </row>
    <row r="34" ht="26" customHeight="1" spans="1:9" x14ac:dyDescent="0.25">
      <c r="A34" s="65">
        <f>IF(ISBLANK('📦 商品出厂底价库 (Products)'!A32), "", 31)</f>
      </c>
      <c r="B34" s="65">
        <f>IF(ISBLANK('📦 商品出厂底价库 (Products)'!A32), "", '📦 商品出厂底价库 (Products)'!A32)</f>
      </c>
      <c r="C34" s="66">
        <f>IF(ISBLANK('📦 商品出厂底价库 (Products)'!A32), "", '📦 商品出厂底价库 (Products)'!C32)</f>
      </c>
      <c r="D34" s="67">
        <f>IF(ISBLANK('📦 商品出厂底价库 (Products)'!A32), "", '📦 商品出厂底价库 (Products)'!E32)</f>
      </c>
      <c r="E34" s="68">
        <f>IF(ISBLANK('📦 商品出厂底价库 (Products)'!A32), "", '📦 商品出厂底价库 (Products)'!N32)</f>
      </c>
      <c r="F34" s="67">
        <f>IF(ISBLANK('📦 商品出厂底价库 (Products)'!A32), "", '📦 商品出厂底价库 (Products)'!F32)</f>
      </c>
      <c r="G34" s="67">
        <f>IF(ISBLANK('📦 商品出厂底价库 (Products)'!A32), "", '📦 商品出厂底价库 (Products)'!O32)</f>
      </c>
      <c r="H34" s="67">
        <f>IF(ISBLANK('📦 商品出厂底价库 (Products)'!A32), "", '📦 商品出厂底价库 (Products)'!P32)</f>
      </c>
      <c r="I34" s="65">
        <f>IF(ISBLANK('📦 商品出厂底价库 (Products)'!A32), "", '📦 商品出厂底价库 (Products)'!J32)</f>
      </c>
    </row>
    <row r="35" ht="26" customHeight="1" spans="1:9" x14ac:dyDescent="0.25">
      <c r="A35" s="69">
        <f>IF(ISBLANK('📦 商品出厂底价库 (Products)'!A33), "", 32)</f>
      </c>
      <c r="B35" s="69">
        <f>IF(ISBLANK('📦 商品出厂底价库 (Products)'!A33), "", '📦 商品出厂底价库 (Products)'!A33)</f>
      </c>
      <c r="C35" s="70">
        <f>IF(ISBLANK('📦 商品出厂底价库 (Products)'!A33), "", '📦 商品出厂底价库 (Products)'!C33)</f>
      </c>
      <c r="D35" s="71">
        <f>IF(ISBLANK('📦 商品出厂底价库 (Products)'!A33), "", '📦 商品出厂底价库 (Products)'!E33)</f>
      </c>
      <c r="E35" s="72">
        <f>IF(ISBLANK('📦 商品出厂底价库 (Products)'!A33), "", '📦 商品出厂底价库 (Products)'!N33)</f>
      </c>
      <c r="F35" s="71">
        <f>IF(ISBLANK('📦 商品出厂底价库 (Products)'!A33), "", '📦 商品出厂底价库 (Products)'!F33)</f>
      </c>
      <c r="G35" s="71">
        <f>IF(ISBLANK('📦 商品出厂底价库 (Products)'!A33), "", '📦 商品出厂底价库 (Products)'!O33)</f>
      </c>
      <c r="H35" s="71">
        <f>IF(ISBLANK('📦 商品出厂底价库 (Products)'!A33), "", '📦 商品出厂底价库 (Products)'!P33)</f>
      </c>
      <c r="I35" s="69">
        <f>IF(ISBLANK('📦 商品出厂底价库 (Products)'!A33), "", '📦 商品出厂底价库 (Products)'!J33)</f>
      </c>
    </row>
    <row r="36" ht="26" customHeight="1" spans="1:9" x14ac:dyDescent="0.25">
      <c r="A36" s="65">
        <f>IF(ISBLANK('📦 商品出厂底价库 (Products)'!A34), "", 33)</f>
      </c>
      <c r="B36" s="65">
        <f>IF(ISBLANK('📦 商品出厂底价库 (Products)'!A34), "", '📦 商品出厂底价库 (Products)'!A34)</f>
      </c>
      <c r="C36" s="66">
        <f>IF(ISBLANK('📦 商品出厂底价库 (Products)'!A34), "", '📦 商品出厂底价库 (Products)'!C34)</f>
      </c>
      <c r="D36" s="67">
        <f>IF(ISBLANK('📦 商品出厂底价库 (Products)'!A34), "", '📦 商品出厂底价库 (Products)'!E34)</f>
      </c>
      <c r="E36" s="68">
        <f>IF(ISBLANK('📦 商品出厂底价库 (Products)'!A34), "", '📦 商品出厂底价库 (Products)'!N34)</f>
      </c>
      <c r="F36" s="67">
        <f>IF(ISBLANK('📦 商品出厂底价库 (Products)'!A34), "", '📦 商品出厂底价库 (Products)'!F34)</f>
      </c>
      <c r="G36" s="67">
        <f>IF(ISBLANK('📦 商品出厂底价库 (Products)'!A34), "", '📦 商品出厂底价库 (Products)'!O34)</f>
      </c>
      <c r="H36" s="67">
        <f>IF(ISBLANK('📦 商品出厂底价库 (Products)'!A34), "", '📦 商品出厂底价库 (Products)'!P34)</f>
      </c>
      <c r="I36" s="65">
        <f>IF(ISBLANK('📦 商品出厂底价库 (Products)'!A34), "", '📦 商品出厂底价库 (Products)'!J34)</f>
      </c>
    </row>
    <row r="37" ht="26" customHeight="1" spans="1:9" x14ac:dyDescent="0.25">
      <c r="A37" s="69">
        <f>IF(ISBLANK('📦 商品出厂底价库 (Products)'!A35), "", 34)</f>
      </c>
      <c r="B37" s="69">
        <f>IF(ISBLANK('📦 商品出厂底价库 (Products)'!A35), "", '📦 商品出厂底价库 (Products)'!A35)</f>
      </c>
      <c r="C37" s="70">
        <f>IF(ISBLANK('📦 商品出厂底价库 (Products)'!A35), "", '📦 商品出厂底价库 (Products)'!C35)</f>
      </c>
      <c r="D37" s="71">
        <f>IF(ISBLANK('📦 商品出厂底价库 (Products)'!A35), "", '📦 商品出厂底价库 (Products)'!E35)</f>
      </c>
      <c r="E37" s="72">
        <f>IF(ISBLANK('📦 商品出厂底价库 (Products)'!A35), "", '📦 商品出厂底价库 (Products)'!N35)</f>
      </c>
      <c r="F37" s="71">
        <f>IF(ISBLANK('📦 商品出厂底价库 (Products)'!A35), "", '📦 商品出厂底价库 (Products)'!F35)</f>
      </c>
      <c r="G37" s="71">
        <f>IF(ISBLANK('📦 商品出厂底价库 (Products)'!A35), "", '📦 商品出厂底价库 (Products)'!O35)</f>
      </c>
      <c r="H37" s="71">
        <f>IF(ISBLANK('📦 商品出厂底价库 (Products)'!A35), "", '📦 商品出厂底价库 (Products)'!P35)</f>
      </c>
      <c r="I37" s="69">
        <f>IF(ISBLANK('📦 商品出厂底价库 (Products)'!A35), "", '📦 商品出厂底价库 (Products)'!J35)</f>
      </c>
    </row>
    <row r="38" ht="26" customHeight="1" spans="1:9" x14ac:dyDescent="0.25">
      <c r="A38" s="65">
        <f>IF(ISBLANK('📦 商品出厂底价库 (Products)'!A36), "", 35)</f>
      </c>
      <c r="B38" s="65">
        <f>IF(ISBLANK('📦 商品出厂底价库 (Products)'!A36), "", '📦 商品出厂底价库 (Products)'!A36)</f>
      </c>
      <c r="C38" s="66">
        <f>IF(ISBLANK('📦 商品出厂底价库 (Products)'!A36), "", '📦 商品出厂底价库 (Products)'!C36)</f>
      </c>
      <c r="D38" s="67">
        <f>IF(ISBLANK('📦 商品出厂底价库 (Products)'!A36), "", '📦 商品出厂底价库 (Products)'!E36)</f>
      </c>
      <c r="E38" s="68">
        <f>IF(ISBLANK('📦 商品出厂底价库 (Products)'!A36), "", '📦 商品出厂底价库 (Products)'!N36)</f>
      </c>
      <c r="F38" s="67">
        <f>IF(ISBLANK('📦 商品出厂底价库 (Products)'!A36), "", '📦 商品出厂底价库 (Products)'!F36)</f>
      </c>
      <c r="G38" s="67">
        <f>IF(ISBLANK('📦 商品出厂底价库 (Products)'!A36), "", '📦 商品出厂底价库 (Products)'!O36)</f>
      </c>
      <c r="H38" s="67">
        <f>IF(ISBLANK('📦 商品出厂底价库 (Products)'!A36), "", '📦 商品出厂底价库 (Products)'!P36)</f>
      </c>
      <c r="I38" s="65">
        <f>IF(ISBLANK('📦 商品出厂底价库 (Products)'!A36), "", '📦 商品出厂底价库 (Products)'!J36)</f>
      </c>
    </row>
    <row r="39" ht="26" customHeight="1" spans="1:9" x14ac:dyDescent="0.25">
      <c r="A39" s="69">
        <f>IF(ISBLANK('📦 商品出厂底价库 (Products)'!A37), "", 36)</f>
      </c>
      <c r="B39" s="69">
        <f>IF(ISBLANK('📦 商品出厂底价库 (Products)'!A37), "", '📦 商品出厂底价库 (Products)'!A37)</f>
      </c>
      <c r="C39" s="70">
        <f>IF(ISBLANK('📦 商品出厂底价库 (Products)'!A37), "", '📦 商品出厂底价库 (Products)'!C37)</f>
      </c>
      <c r="D39" s="71">
        <f>IF(ISBLANK('📦 商品出厂底价库 (Products)'!A37), "", '📦 商品出厂底价库 (Products)'!E37)</f>
      </c>
      <c r="E39" s="72">
        <f>IF(ISBLANK('📦 商品出厂底价库 (Products)'!A37), "", '📦 商品出厂底价库 (Products)'!N37)</f>
      </c>
      <c r="F39" s="71">
        <f>IF(ISBLANK('📦 商品出厂底价库 (Products)'!A37), "", '📦 商品出厂底价库 (Products)'!F37)</f>
      </c>
      <c r="G39" s="71">
        <f>IF(ISBLANK('📦 商品出厂底价库 (Products)'!A37), "", '📦 商品出厂底价库 (Products)'!O37)</f>
      </c>
      <c r="H39" s="71">
        <f>IF(ISBLANK('📦 商品出厂底价库 (Products)'!A37), "", '📦 商品出厂底价库 (Products)'!P37)</f>
      </c>
      <c r="I39" s="69">
        <f>IF(ISBLANK('📦 商品出厂底价库 (Products)'!A37), "", '📦 商品出厂底价库 (Products)'!J37)</f>
      </c>
    </row>
    <row r="40" ht="26" customHeight="1" spans="1:9" x14ac:dyDescent="0.25">
      <c r="A40" s="65">
        <f>IF(ISBLANK('📦 商品出厂底价库 (Products)'!A38), "", 37)</f>
      </c>
      <c r="B40" s="65">
        <f>IF(ISBLANK('📦 商品出厂底价库 (Products)'!A38), "", '📦 商品出厂底价库 (Products)'!A38)</f>
      </c>
      <c r="C40" s="66">
        <f>IF(ISBLANK('📦 商品出厂底价库 (Products)'!A38), "", '📦 商品出厂底价库 (Products)'!C38)</f>
      </c>
      <c r="D40" s="67">
        <f>IF(ISBLANK('📦 商品出厂底价库 (Products)'!A38), "", '📦 商品出厂底价库 (Products)'!E38)</f>
      </c>
      <c r="E40" s="68">
        <f>IF(ISBLANK('📦 商品出厂底价库 (Products)'!A38), "", '📦 商品出厂底价库 (Products)'!N38)</f>
      </c>
      <c r="F40" s="67">
        <f>IF(ISBLANK('📦 商品出厂底价库 (Products)'!A38), "", '📦 商品出厂底价库 (Products)'!F38)</f>
      </c>
      <c r="G40" s="67">
        <f>IF(ISBLANK('📦 商品出厂底价库 (Products)'!A38), "", '📦 商品出厂底价库 (Products)'!O38)</f>
      </c>
      <c r="H40" s="67">
        <f>IF(ISBLANK('📦 商品出厂底价库 (Products)'!A38), "", '📦 商品出厂底价库 (Products)'!P38)</f>
      </c>
      <c r="I40" s="65">
        <f>IF(ISBLANK('📦 商品出厂底价库 (Products)'!A38), "", '📦 商品出厂底价库 (Products)'!J38)</f>
      </c>
    </row>
    <row r="41" ht="26" customHeight="1" spans="1:9" x14ac:dyDescent="0.25">
      <c r="A41" s="69">
        <f>IF(ISBLANK('📦 商品出厂底价库 (Products)'!A39), "", 38)</f>
      </c>
      <c r="B41" s="69">
        <f>IF(ISBLANK('📦 商品出厂底价库 (Products)'!A39), "", '📦 商品出厂底价库 (Products)'!A39)</f>
      </c>
      <c r="C41" s="70">
        <f>IF(ISBLANK('📦 商品出厂底价库 (Products)'!A39), "", '📦 商品出厂底价库 (Products)'!C39)</f>
      </c>
      <c r="D41" s="71">
        <f>IF(ISBLANK('📦 商品出厂底价库 (Products)'!A39), "", '📦 商品出厂底价库 (Products)'!E39)</f>
      </c>
      <c r="E41" s="72">
        <f>IF(ISBLANK('📦 商品出厂底价库 (Products)'!A39), "", '📦 商品出厂底价库 (Products)'!N39)</f>
      </c>
      <c r="F41" s="71">
        <f>IF(ISBLANK('📦 商品出厂底价库 (Products)'!A39), "", '📦 商品出厂底价库 (Products)'!F39)</f>
      </c>
      <c r="G41" s="71">
        <f>IF(ISBLANK('📦 商品出厂底价库 (Products)'!A39), "", '📦 商品出厂底价库 (Products)'!O39)</f>
      </c>
      <c r="H41" s="71">
        <f>IF(ISBLANK('📦 商品出厂底价库 (Products)'!A39), "", '📦 商品出厂底价库 (Products)'!P39)</f>
      </c>
      <c r="I41" s="69">
        <f>IF(ISBLANK('📦 商品出厂底价库 (Products)'!A39), "", '📦 商品出厂底价库 (Products)'!J39)</f>
      </c>
    </row>
    <row r="42" ht="26" customHeight="1" spans="1:9" x14ac:dyDescent="0.25">
      <c r="A42" s="65">
        <f>IF(ISBLANK('📦 商品出厂底价库 (Products)'!A40), "", 39)</f>
      </c>
      <c r="B42" s="65">
        <f>IF(ISBLANK('📦 商品出厂底价库 (Products)'!A40), "", '📦 商品出厂底价库 (Products)'!A40)</f>
      </c>
      <c r="C42" s="66">
        <f>IF(ISBLANK('📦 商品出厂底价库 (Products)'!A40), "", '📦 商品出厂底价库 (Products)'!C40)</f>
      </c>
      <c r="D42" s="67">
        <f>IF(ISBLANK('📦 商品出厂底价库 (Products)'!A40), "", '📦 商品出厂底价库 (Products)'!E40)</f>
      </c>
      <c r="E42" s="68">
        <f>IF(ISBLANK('📦 商品出厂底价库 (Products)'!A40), "", '📦 商品出厂底价库 (Products)'!N40)</f>
      </c>
      <c r="F42" s="67">
        <f>IF(ISBLANK('📦 商品出厂底价库 (Products)'!A40), "", '📦 商品出厂底价库 (Products)'!F40)</f>
      </c>
      <c r="G42" s="67">
        <f>IF(ISBLANK('📦 商品出厂底价库 (Products)'!A40), "", '📦 商品出厂底价库 (Products)'!O40)</f>
      </c>
      <c r="H42" s="67">
        <f>IF(ISBLANK('📦 商品出厂底价库 (Products)'!A40), "", '📦 商品出厂底价库 (Products)'!P40)</f>
      </c>
      <c r="I42" s="65">
        <f>IF(ISBLANK('📦 商品出厂底价库 (Products)'!A40), "", '📦 商品出厂底价库 (Products)'!J40)</f>
      </c>
    </row>
    <row r="43" ht="26" customHeight="1" spans="1:9" x14ac:dyDescent="0.25">
      <c r="A43" s="69">
        <f>IF(ISBLANK('📦 商品出厂底价库 (Products)'!A41), "", 40)</f>
      </c>
      <c r="B43" s="69">
        <f>IF(ISBLANK('📦 商品出厂底价库 (Products)'!A41), "", '📦 商品出厂底价库 (Products)'!A41)</f>
      </c>
      <c r="C43" s="70">
        <f>IF(ISBLANK('📦 商品出厂底价库 (Products)'!A41), "", '📦 商品出厂底价库 (Products)'!C41)</f>
      </c>
      <c r="D43" s="71">
        <f>IF(ISBLANK('📦 商品出厂底价库 (Products)'!A41), "", '📦 商品出厂底价库 (Products)'!E41)</f>
      </c>
      <c r="E43" s="72">
        <f>IF(ISBLANK('📦 商品出厂底价库 (Products)'!A41), "", '📦 商品出厂底价库 (Products)'!N41)</f>
      </c>
      <c r="F43" s="71">
        <f>IF(ISBLANK('📦 商品出厂底价库 (Products)'!A41), "", '📦 商品出厂底价库 (Products)'!F41)</f>
      </c>
      <c r="G43" s="71">
        <f>IF(ISBLANK('📦 商品出厂底价库 (Products)'!A41), "", '📦 商品出厂底价库 (Products)'!O41)</f>
      </c>
      <c r="H43" s="71">
        <f>IF(ISBLANK('📦 商品出厂底价库 (Products)'!A41), "", '📦 商品出厂底价库 (Products)'!P41)</f>
      </c>
      <c r="I43" s="69">
        <f>IF(ISBLANK('📦 商品出厂底价库 (Products)'!A41), "", '📦 商品出厂底价库 (Products)'!J41)</f>
      </c>
    </row>
    <row r="44" ht="26" customHeight="1" spans="1:9" x14ac:dyDescent="0.25">
      <c r="A44" s="65">
        <f>IF(ISBLANK('📦 商品出厂底价库 (Products)'!A42), "", 41)</f>
      </c>
      <c r="B44" s="65">
        <f>IF(ISBLANK('📦 商品出厂底价库 (Products)'!A42), "", '📦 商品出厂底价库 (Products)'!A42)</f>
      </c>
      <c r="C44" s="66">
        <f>IF(ISBLANK('📦 商品出厂底价库 (Products)'!A42), "", '📦 商品出厂底价库 (Products)'!C42)</f>
      </c>
      <c r="D44" s="67">
        <f>IF(ISBLANK('📦 商品出厂底价库 (Products)'!A42), "", '📦 商品出厂底价库 (Products)'!E42)</f>
      </c>
      <c r="E44" s="68">
        <f>IF(ISBLANK('📦 商品出厂底价库 (Products)'!A42), "", '📦 商品出厂底价库 (Products)'!N42)</f>
      </c>
      <c r="F44" s="67">
        <f>IF(ISBLANK('📦 商品出厂底价库 (Products)'!A42), "", '📦 商品出厂底价库 (Products)'!F42)</f>
      </c>
      <c r="G44" s="67">
        <f>IF(ISBLANK('📦 商品出厂底价库 (Products)'!A42), "", '📦 商品出厂底价库 (Products)'!O42)</f>
      </c>
      <c r="H44" s="67">
        <f>IF(ISBLANK('📦 商品出厂底价库 (Products)'!A42), "", '📦 商品出厂底价库 (Products)'!P42)</f>
      </c>
      <c r="I44" s="65">
        <f>IF(ISBLANK('📦 商品出厂底价库 (Products)'!A42), "", '📦 商品出厂底价库 (Products)'!J42)</f>
      </c>
    </row>
    <row r="45" ht="26" customHeight="1" spans="1:9" x14ac:dyDescent="0.25">
      <c r="A45" s="69">
        <f>IF(ISBLANK('📦 商品出厂底价库 (Products)'!A43), "", 42)</f>
      </c>
      <c r="B45" s="69">
        <f>IF(ISBLANK('📦 商品出厂底价库 (Products)'!A43), "", '📦 商品出厂底价库 (Products)'!A43)</f>
      </c>
      <c r="C45" s="70">
        <f>IF(ISBLANK('📦 商品出厂底价库 (Products)'!A43), "", '📦 商品出厂底价库 (Products)'!C43)</f>
      </c>
      <c r="D45" s="71">
        <f>IF(ISBLANK('📦 商品出厂底价库 (Products)'!A43), "", '📦 商品出厂底价库 (Products)'!E43)</f>
      </c>
      <c r="E45" s="72">
        <f>IF(ISBLANK('📦 商品出厂底价库 (Products)'!A43), "", '📦 商品出厂底价库 (Products)'!N43)</f>
      </c>
      <c r="F45" s="71">
        <f>IF(ISBLANK('📦 商品出厂底价库 (Products)'!A43), "", '📦 商品出厂底价库 (Products)'!F43)</f>
      </c>
      <c r="G45" s="71">
        <f>IF(ISBLANK('📦 商品出厂底价库 (Products)'!A43), "", '📦 商品出厂底价库 (Products)'!O43)</f>
      </c>
      <c r="H45" s="71">
        <f>IF(ISBLANK('📦 商品出厂底价库 (Products)'!A43), "", '📦 商品出厂底价库 (Products)'!P43)</f>
      </c>
      <c r="I45" s="69">
        <f>IF(ISBLANK('📦 商品出厂底价库 (Products)'!A43), "", '📦 商品出厂底价库 (Products)'!J43)</f>
      </c>
    </row>
    <row r="46" ht="26" customHeight="1" spans="1:9" x14ac:dyDescent="0.25">
      <c r="A46" s="65">
        <f>IF(ISBLANK('📦 商品出厂底价库 (Products)'!A44), "", 43)</f>
      </c>
      <c r="B46" s="65">
        <f>IF(ISBLANK('📦 商品出厂底价库 (Products)'!A44), "", '📦 商品出厂底价库 (Products)'!A44)</f>
      </c>
      <c r="C46" s="66">
        <f>IF(ISBLANK('📦 商品出厂底价库 (Products)'!A44), "", '📦 商品出厂底价库 (Products)'!C44)</f>
      </c>
      <c r="D46" s="67">
        <f>IF(ISBLANK('📦 商品出厂底价库 (Products)'!A44), "", '📦 商品出厂底价库 (Products)'!E44)</f>
      </c>
      <c r="E46" s="68">
        <f>IF(ISBLANK('📦 商品出厂底价库 (Products)'!A44), "", '📦 商品出厂底价库 (Products)'!N44)</f>
      </c>
      <c r="F46" s="67">
        <f>IF(ISBLANK('📦 商品出厂底价库 (Products)'!A44), "", '📦 商品出厂底价库 (Products)'!F44)</f>
      </c>
      <c r="G46" s="67">
        <f>IF(ISBLANK('📦 商品出厂底价库 (Products)'!A44), "", '📦 商品出厂底价库 (Products)'!O44)</f>
      </c>
      <c r="H46" s="67">
        <f>IF(ISBLANK('📦 商品出厂底价库 (Products)'!A44), "", '📦 商品出厂底价库 (Products)'!P44)</f>
      </c>
      <c r="I46" s="65">
        <f>IF(ISBLANK('📦 商品出厂底价库 (Products)'!A44), "", '📦 商品出厂底价库 (Products)'!J44)</f>
      </c>
    </row>
    <row r="47" ht="26" customHeight="1" spans="1:9" x14ac:dyDescent="0.25">
      <c r="A47" s="69">
        <f>IF(ISBLANK('📦 商品出厂底价库 (Products)'!A45), "", 44)</f>
      </c>
      <c r="B47" s="69">
        <f>IF(ISBLANK('📦 商品出厂底价库 (Products)'!A45), "", '📦 商品出厂底价库 (Products)'!A45)</f>
      </c>
      <c r="C47" s="70">
        <f>IF(ISBLANK('📦 商品出厂底价库 (Products)'!A45), "", '📦 商品出厂底价库 (Products)'!C45)</f>
      </c>
      <c r="D47" s="71">
        <f>IF(ISBLANK('📦 商品出厂底价库 (Products)'!A45), "", '📦 商品出厂底价库 (Products)'!E45)</f>
      </c>
      <c r="E47" s="72">
        <f>IF(ISBLANK('📦 商品出厂底价库 (Products)'!A45), "", '📦 商品出厂底价库 (Products)'!N45)</f>
      </c>
      <c r="F47" s="71">
        <f>IF(ISBLANK('📦 商品出厂底价库 (Products)'!A45), "", '📦 商品出厂底价库 (Products)'!F45)</f>
      </c>
      <c r="G47" s="71">
        <f>IF(ISBLANK('📦 商品出厂底价库 (Products)'!A45), "", '📦 商品出厂底价库 (Products)'!O45)</f>
      </c>
      <c r="H47" s="71">
        <f>IF(ISBLANK('📦 商品出厂底价库 (Products)'!A45), "", '📦 商品出厂底价库 (Products)'!P45)</f>
      </c>
      <c r="I47" s="69">
        <f>IF(ISBLANK('📦 商品出厂底价库 (Products)'!A45), "", '📦 商品出厂底价库 (Products)'!J45)</f>
      </c>
    </row>
    <row r="48" ht="26" customHeight="1" spans="1:9" x14ac:dyDescent="0.25">
      <c r="A48" s="65">
        <f>IF(ISBLANK('📦 商品出厂底价库 (Products)'!A46), "", 45)</f>
      </c>
      <c r="B48" s="65">
        <f>IF(ISBLANK('📦 商品出厂底价库 (Products)'!A46), "", '📦 商品出厂底价库 (Products)'!A46)</f>
      </c>
      <c r="C48" s="66">
        <f>IF(ISBLANK('📦 商品出厂底价库 (Products)'!A46), "", '📦 商品出厂底价库 (Products)'!C46)</f>
      </c>
      <c r="D48" s="67">
        <f>IF(ISBLANK('📦 商品出厂底价库 (Products)'!A46), "", '📦 商品出厂底价库 (Products)'!E46)</f>
      </c>
      <c r="E48" s="68">
        <f>IF(ISBLANK('📦 商品出厂底价库 (Products)'!A46), "", '📦 商品出厂底价库 (Products)'!N46)</f>
      </c>
      <c r="F48" s="67">
        <f>IF(ISBLANK('📦 商品出厂底价库 (Products)'!A46), "", '📦 商品出厂底价库 (Products)'!F46)</f>
      </c>
      <c r="G48" s="67">
        <f>IF(ISBLANK('📦 商品出厂底价库 (Products)'!A46), "", '📦 商品出厂底价库 (Products)'!O46)</f>
      </c>
      <c r="H48" s="67">
        <f>IF(ISBLANK('📦 商品出厂底价库 (Products)'!A46), "", '📦 商品出厂底价库 (Products)'!P46)</f>
      </c>
      <c r="I48" s="65">
        <f>IF(ISBLANK('📦 商品出厂底价库 (Products)'!A46), "", '📦 商品出厂底价库 (Products)'!J46)</f>
      </c>
    </row>
    <row r="49" ht="26" customHeight="1" spans="1:9" x14ac:dyDescent="0.25">
      <c r="A49" s="69">
        <f>IF(ISBLANK('📦 商品出厂底价库 (Products)'!A47), "", 46)</f>
      </c>
      <c r="B49" s="69">
        <f>IF(ISBLANK('📦 商品出厂底价库 (Products)'!A47), "", '📦 商品出厂底价库 (Products)'!A47)</f>
      </c>
      <c r="C49" s="70">
        <f>IF(ISBLANK('📦 商品出厂底价库 (Products)'!A47), "", '📦 商品出厂底价库 (Products)'!C47)</f>
      </c>
      <c r="D49" s="71">
        <f>IF(ISBLANK('📦 商品出厂底价库 (Products)'!A47), "", '📦 商品出厂底价库 (Products)'!E47)</f>
      </c>
      <c r="E49" s="72">
        <f>IF(ISBLANK('📦 商品出厂底价库 (Products)'!A47), "", '📦 商品出厂底价库 (Products)'!N47)</f>
      </c>
      <c r="F49" s="71">
        <f>IF(ISBLANK('📦 商品出厂底价库 (Products)'!A47), "", '📦 商品出厂底价库 (Products)'!F47)</f>
      </c>
      <c r="G49" s="71">
        <f>IF(ISBLANK('📦 商品出厂底价库 (Products)'!A47), "", '📦 商品出厂底价库 (Products)'!O47)</f>
      </c>
      <c r="H49" s="71">
        <f>IF(ISBLANK('📦 商品出厂底价库 (Products)'!A47), "", '📦 商品出厂底价库 (Products)'!P47)</f>
      </c>
      <c r="I49" s="69">
        <f>IF(ISBLANK('📦 商品出厂底价库 (Products)'!A47), "", '📦 商品出厂底价库 (Products)'!J47)</f>
      </c>
    </row>
    <row r="50" ht="26" customHeight="1" spans="1:9" x14ac:dyDescent="0.25">
      <c r="A50" s="65">
        <f>IF(ISBLANK('📦 商品出厂底价库 (Products)'!A48), "", 47)</f>
      </c>
      <c r="B50" s="65">
        <f>IF(ISBLANK('📦 商品出厂底价库 (Products)'!A48), "", '📦 商品出厂底价库 (Products)'!A48)</f>
      </c>
      <c r="C50" s="66">
        <f>IF(ISBLANK('📦 商品出厂底价库 (Products)'!A48), "", '📦 商品出厂底价库 (Products)'!C48)</f>
      </c>
      <c r="D50" s="67">
        <f>IF(ISBLANK('📦 商品出厂底价库 (Products)'!A48), "", '📦 商品出厂底价库 (Products)'!E48)</f>
      </c>
      <c r="E50" s="68">
        <f>IF(ISBLANK('📦 商品出厂底价库 (Products)'!A48), "", '📦 商品出厂底价库 (Products)'!N48)</f>
      </c>
      <c r="F50" s="67">
        <f>IF(ISBLANK('📦 商品出厂底价库 (Products)'!A48), "", '📦 商品出厂底价库 (Products)'!F48)</f>
      </c>
      <c r="G50" s="67">
        <f>IF(ISBLANK('📦 商品出厂底价库 (Products)'!A48), "", '📦 商品出厂底价库 (Products)'!O48)</f>
      </c>
      <c r="H50" s="67">
        <f>IF(ISBLANK('📦 商品出厂底价库 (Products)'!A48), "", '📦 商品出厂底价库 (Products)'!P48)</f>
      </c>
      <c r="I50" s="65">
        <f>IF(ISBLANK('📦 商品出厂底价库 (Products)'!A48), "", '📦 商品出厂底价库 (Products)'!J48)</f>
      </c>
    </row>
    <row r="51" ht="26" customHeight="1" spans="1:9" x14ac:dyDescent="0.25">
      <c r="A51" s="69">
        <f>IF(ISBLANK('📦 商品出厂底价库 (Products)'!A49), "", 48)</f>
      </c>
      <c r="B51" s="69">
        <f>IF(ISBLANK('📦 商品出厂底价库 (Products)'!A49), "", '📦 商品出厂底价库 (Products)'!A49)</f>
      </c>
      <c r="C51" s="70">
        <f>IF(ISBLANK('📦 商品出厂底价库 (Products)'!A49), "", '📦 商品出厂底价库 (Products)'!C49)</f>
      </c>
      <c r="D51" s="71">
        <f>IF(ISBLANK('📦 商品出厂底价库 (Products)'!A49), "", '📦 商品出厂底价库 (Products)'!E49)</f>
      </c>
      <c r="E51" s="72">
        <f>IF(ISBLANK('📦 商品出厂底价库 (Products)'!A49), "", '📦 商品出厂底价库 (Products)'!N49)</f>
      </c>
      <c r="F51" s="71">
        <f>IF(ISBLANK('📦 商品出厂底价库 (Products)'!A49), "", '📦 商品出厂底价库 (Products)'!F49)</f>
      </c>
      <c r="G51" s="71">
        <f>IF(ISBLANK('📦 商品出厂底价库 (Products)'!A49), "", '📦 商品出厂底价库 (Products)'!O49)</f>
      </c>
      <c r="H51" s="71">
        <f>IF(ISBLANK('📦 商品出厂底价库 (Products)'!A49), "", '📦 商品出厂底价库 (Products)'!P49)</f>
      </c>
      <c r="I51" s="69">
        <f>IF(ISBLANK('📦 商品出厂底价库 (Products)'!A49), "", '📦 商品出厂底价库 (Products)'!J49)</f>
      </c>
    </row>
    <row r="52" ht="26" customHeight="1" spans="1:9" x14ac:dyDescent="0.25">
      <c r="A52" s="65">
        <f>IF(ISBLANK('📦 商品出厂底价库 (Products)'!A50), "", 49)</f>
      </c>
      <c r="B52" s="65">
        <f>IF(ISBLANK('📦 商品出厂底价库 (Products)'!A50), "", '📦 商品出厂底价库 (Products)'!A50)</f>
      </c>
      <c r="C52" s="66">
        <f>IF(ISBLANK('📦 商品出厂底价库 (Products)'!A50), "", '📦 商品出厂底价库 (Products)'!C50)</f>
      </c>
      <c r="D52" s="67">
        <f>IF(ISBLANK('📦 商品出厂底价库 (Products)'!A50), "", '📦 商品出厂底价库 (Products)'!E50)</f>
      </c>
      <c r="E52" s="68">
        <f>IF(ISBLANK('📦 商品出厂底价库 (Products)'!A50), "", '📦 商品出厂底价库 (Products)'!N50)</f>
      </c>
      <c r="F52" s="67">
        <f>IF(ISBLANK('📦 商品出厂底价库 (Products)'!A50), "", '📦 商品出厂底价库 (Products)'!F50)</f>
      </c>
      <c r="G52" s="67">
        <f>IF(ISBLANK('📦 商品出厂底价库 (Products)'!A50), "", '📦 商品出厂底价库 (Products)'!O50)</f>
      </c>
      <c r="H52" s="67">
        <f>IF(ISBLANK('📦 商品出厂底价库 (Products)'!A50), "", '📦 商品出厂底价库 (Products)'!P50)</f>
      </c>
      <c r="I52" s="65">
        <f>IF(ISBLANK('📦 商品出厂底价库 (Products)'!A50), "", '📦 商品出厂底价库 (Products)'!J50)</f>
      </c>
    </row>
    <row r="53" ht="26" customHeight="1" spans="1:9" x14ac:dyDescent="0.25">
      <c r="A53" s="69">
        <f>IF(ISBLANK('📦 商品出厂底价库 (Products)'!A51), "", 50)</f>
      </c>
      <c r="B53" s="69">
        <f>IF(ISBLANK('📦 商品出厂底价库 (Products)'!A51), "", '📦 商品出厂底价库 (Products)'!A51)</f>
      </c>
      <c r="C53" s="70">
        <f>IF(ISBLANK('📦 商品出厂底价库 (Products)'!A51), "", '📦 商品出厂底价库 (Products)'!C51)</f>
      </c>
      <c r="D53" s="71">
        <f>IF(ISBLANK('📦 商品出厂底价库 (Products)'!A51), "", '📦 商品出厂底价库 (Products)'!E51)</f>
      </c>
      <c r="E53" s="72">
        <f>IF(ISBLANK('📦 商品出厂底价库 (Products)'!A51), "", '📦 商品出厂底价库 (Products)'!N51)</f>
      </c>
      <c r="F53" s="71">
        <f>IF(ISBLANK('📦 商品出厂底价库 (Products)'!A51), "", '📦 商品出厂底价库 (Products)'!F51)</f>
      </c>
      <c r="G53" s="71">
        <f>IF(ISBLANK('📦 商品出厂底价库 (Products)'!A51), "", '📦 商品出厂底价库 (Products)'!O51)</f>
      </c>
      <c r="H53" s="71">
        <f>IF(ISBLANK('📦 商品出厂底价库 (Products)'!A51), "", '📦 商品出厂底价库 (Products)'!P51)</f>
      </c>
      <c r="I53" s="69">
        <f>IF(ISBLANK('📦 商品出厂底价库 (Products)'!A51), "", '📦 商品出厂底价库 (Products)'!J51)</f>
      </c>
    </row>
    <row r="54" ht="26" customHeight="1" spans="1:9" x14ac:dyDescent="0.25">
      <c r="A54" s="65">
        <f>IF(ISBLANK('📦 商品出厂底价库 (Products)'!A52), "", 51)</f>
      </c>
      <c r="B54" s="65">
        <f>IF(ISBLANK('📦 商品出厂底价库 (Products)'!A52), "", '📦 商品出厂底价库 (Products)'!A52)</f>
      </c>
      <c r="C54" s="66">
        <f>IF(ISBLANK('📦 商品出厂底价库 (Products)'!A52), "", '📦 商品出厂底价库 (Products)'!C52)</f>
      </c>
      <c r="D54" s="67">
        <f>IF(ISBLANK('📦 商品出厂底价库 (Products)'!A52), "", '📦 商品出厂底价库 (Products)'!E52)</f>
      </c>
      <c r="E54" s="68">
        <f>IF(ISBLANK('📦 商品出厂底价库 (Products)'!A52), "", '📦 商品出厂底价库 (Products)'!N52)</f>
      </c>
      <c r="F54" s="67">
        <f>IF(ISBLANK('📦 商品出厂底价库 (Products)'!A52), "", '📦 商品出厂底价库 (Products)'!F52)</f>
      </c>
      <c r="G54" s="67">
        <f>IF(ISBLANK('📦 商品出厂底价库 (Products)'!A52), "", '📦 商品出厂底价库 (Products)'!O52)</f>
      </c>
      <c r="H54" s="67">
        <f>IF(ISBLANK('📦 商品出厂底价库 (Products)'!A52), "", '📦 商品出厂底价库 (Products)'!P52)</f>
      </c>
      <c r="I54" s="65">
        <f>IF(ISBLANK('📦 商品出厂底价库 (Products)'!A52), "", '📦 商品出厂底价库 (Products)'!J52)</f>
      </c>
    </row>
    <row r="55" ht="26" customHeight="1" spans="1:9" x14ac:dyDescent="0.25">
      <c r="A55" s="69">
        <f>IF(ISBLANK('📦 商品出厂底价库 (Products)'!A53), "", 52)</f>
      </c>
      <c r="B55" s="69">
        <f>IF(ISBLANK('📦 商品出厂底价库 (Products)'!A53), "", '📦 商品出厂底价库 (Products)'!A53)</f>
      </c>
      <c r="C55" s="70">
        <f>IF(ISBLANK('📦 商品出厂底价库 (Products)'!A53), "", '📦 商品出厂底价库 (Products)'!C53)</f>
      </c>
      <c r="D55" s="71">
        <f>IF(ISBLANK('📦 商品出厂底价库 (Products)'!A53), "", '📦 商品出厂底价库 (Products)'!E53)</f>
      </c>
      <c r="E55" s="72">
        <f>IF(ISBLANK('📦 商品出厂底价库 (Products)'!A53), "", '📦 商品出厂底价库 (Products)'!N53)</f>
      </c>
      <c r="F55" s="71">
        <f>IF(ISBLANK('📦 商品出厂底价库 (Products)'!A53), "", '📦 商品出厂底价库 (Products)'!F53)</f>
      </c>
      <c r="G55" s="71">
        <f>IF(ISBLANK('📦 商品出厂底价库 (Products)'!A53), "", '📦 商品出厂底价库 (Products)'!O53)</f>
      </c>
      <c r="H55" s="71">
        <f>IF(ISBLANK('📦 商品出厂底价库 (Products)'!A53), "", '📦 商品出厂底价库 (Products)'!P53)</f>
      </c>
      <c r="I55" s="69">
        <f>IF(ISBLANK('📦 商品出厂底价库 (Products)'!A53), "", '📦 商品出厂底价库 (Products)'!J53)</f>
      </c>
    </row>
    <row r="56" ht="26" customHeight="1" spans="1:9" x14ac:dyDescent="0.25">
      <c r="A56" s="65">
        <f>IF(ISBLANK('📦 商品出厂底价库 (Products)'!A54), "", 53)</f>
      </c>
      <c r="B56" s="65">
        <f>IF(ISBLANK('📦 商品出厂底价库 (Products)'!A54), "", '📦 商品出厂底价库 (Products)'!A54)</f>
      </c>
      <c r="C56" s="66">
        <f>IF(ISBLANK('📦 商品出厂底价库 (Products)'!A54), "", '📦 商品出厂底价库 (Products)'!C54)</f>
      </c>
      <c r="D56" s="67">
        <f>IF(ISBLANK('📦 商品出厂底价库 (Products)'!A54), "", '📦 商品出厂底价库 (Products)'!E54)</f>
      </c>
      <c r="E56" s="68">
        <f>IF(ISBLANK('📦 商品出厂底价库 (Products)'!A54), "", '📦 商品出厂底价库 (Products)'!N54)</f>
      </c>
      <c r="F56" s="67">
        <f>IF(ISBLANK('📦 商品出厂底价库 (Products)'!A54), "", '📦 商品出厂底价库 (Products)'!F54)</f>
      </c>
      <c r="G56" s="67">
        <f>IF(ISBLANK('📦 商品出厂底价库 (Products)'!A54), "", '📦 商品出厂底价库 (Products)'!O54)</f>
      </c>
      <c r="H56" s="67">
        <f>IF(ISBLANK('📦 商品出厂底价库 (Products)'!A54), "", '📦 商品出厂底价库 (Products)'!P54)</f>
      </c>
      <c r="I56" s="65">
        <f>IF(ISBLANK('📦 商品出厂底价库 (Products)'!A54), "", '📦 商品出厂底价库 (Products)'!J54)</f>
      </c>
    </row>
    <row r="57" ht="26" customHeight="1" spans="1:9" x14ac:dyDescent="0.25">
      <c r="A57" s="69">
        <f>IF(ISBLANK('📦 商品出厂底价库 (Products)'!A55), "", 54)</f>
      </c>
      <c r="B57" s="69">
        <f>IF(ISBLANK('📦 商品出厂底价库 (Products)'!A55), "", '📦 商品出厂底价库 (Products)'!A55)</f>
      </c>
      <c r="C57" s="70">
        <f>IF(ISBLANK('📦 商品出厂底价库 (Products)'!A55), "", '📦 商品出厂底价库 (Products)'!C55)</f>
      </c>
      <c r="D57" s="71">
        <f>IF(ISBLANK('📦 商品出厂底价库 (Products)'!A55), "", '📦 商品出厂底价库 (Products)'!E55)</f>
      </c>
      <c r="E57" s="72">
        <f>IF(ISBLANK('📦 商品出厂底价库 (Products)'!A55), "", '📦 商品出厂底价库 (Products)'!N55)</f>
      </c>
      <c r="F57" s="71">
        <f>IF(ISBLANK('📦 商品出厂底价库 (Products)'!A55), "", '📦 商品出厂底价库 (Products)'!F55)</f>
      </c>
      <c r="G57" s="71">
        <f>IF(ISBLANK('📦 商品出厂底价库 (Products)'!A55), "", '📦 商品出厂底价库 (Products)'!O55)</f>
      </c>
      <c r="H57" s="71">
        <f>IF(ISBLANK('📦 商品出厂底价库 (Products)'!A55), "", '📦 商品出厂底价库 (Products)'!P55)</f>
      </c>
      <c r="I57" s="69">
        <f>IF(ISBLANK('📦 商品出厂底价库 (Products)'!A55), "", '📦 商品出厂底价库 (Products)'!J55)</f>
      </c>
    </row>
    <row r="58" ht="26" customHeight="1" spans="1:9" x14ac:dyDescent="0.25">
      <c r="A58" s="65">
        <f>IF(ISBLANK('📦 商品出厂底价库 (Products)'!A56), "", 55)</f>
      </c>
      <c r="B58" s="65">
        <f>IF(ISBLANK('📦 商品出厂底价库 (Products)'!A56), "", '📦 商品出厂底价库 (Products)'!A56)</f>
      </c>
      <c r="C58" s="66">
        <f>IF(ISBLANK('📦 商品出厂底价库 (Products)'!A56), "", '📦 商品出厂底价库 (Products)'!C56)</f>
      </c>
      <c r="D58" s="67">
        <f>IF(ISBLANK('📦 商品出厂底价库 (Products)'!A56), "", '📦 商品出厂底价库 (Products)'!E56)</f>
      </c>
      <c r="E58" s="68">
        <f>IF(ISBLANK('📦 商品出厂底价库 (Products)'!A56), "", '📦 商品出厂底价库 (Products)'!N56)</f>
      </c>
      <c r="F58" s="67">
        <f>IF(ISBLANK('📦 商品出厂底价库 (Products)'!A56), "", '📦 商品出厂底价库 (Products)'!F56)</f>
      </c>
      <c r="G58" s="67">
        <f>IF(ISBLANK('📦 商品出厂底价库 (Products)'!A56), "", '📦 商品出厂底价库 (Products)'!O56)</f>
      </c>
      <c r="H58" s="67">
        <f>IF(ISBLANK('📦 商品出厂底价库 (Products)'!A56), "", '📦 商品出厂底价库 (Products)'!P56)</f>
      </c>
      <c r="I58" s="65">
        <f>IF(ISBLANK('📦 商品出厂底价库 (Products)'!A56), "", '📦 商品出厂底价库 (Products)'!J56)</f>
      </c>
    </row>
    <row r="59" ht="26" customHeight="1" spans="1:9" x14ac:dyDescent="0.25">
      <c r="A59" s="69">
        <f>IF(ISBLANK('📦 商品出厂底价库 (Products)'!A57), "", 56)</f>
      </c>
      <c r="B59" s="69">
        <f>IF(ISBLANK('📦 商品出厂底价库 (Products)'!A57), "", '📦 商品出厂底价库 (Products)'!A57)</f>
      </c>
      <c r="C59" s="70">
        <f>IF(ISBLANK('📦 商品出厂底价库 (Products)'!A57), "", '📦 商品出厂底价库 (Products)'!C57)</f>
      </c>
      <c r="D59" s="71">
        <f>IF(ISBLANK('📦 商品出厂底价库 (Products)'!A57), "", '📦 商品出厂底价库 (Products)'!E57)</f>
      </c>
      <c r="E59" s="72">
        <f>IF(ISBLANK('📦 商品出厂底价库 (Products)'!A57), "", '📦 商品出厂底价库 (Products)'!N57)</f>
      </c>
      <c r="F59" s="71">
        <f>IF(ISBLANK('📦 商品出厂底价库 (Products)'!A57), "", '📦 商品出厂底价库 (Products)'!F57)</f>
      </c>
      <c r="G59" s="71">
        <f>IF(ISBLANK('📦 商品出厂底价库 (Products)'!A57), "", '📦 商品出厂底价库 (Products)'!O57)</f>
      </c>
      <c r="H59" s="71">
        <f>IF(ISBLANK('📦 商品出厂底价库 (Products)'!A57), "", '📦 商品出厂底价库 (Products)'!P57)</f>
      </c>
      <c r="I59" s="69">
        <f>IF(ISBLANK('📦 商品出厂底价库 (Products)'!A57), "", '📦 商品出厂底价库 (Products)'!J57)</f>
      </c>
    </row>
    <row r="60" ht="26" customHeight="1" spans="1:9" x14ac:dyDescent="0.25">
      <c r="A60" s="65">
        <f>IF(ISBLANK('📦 商品出厂底价库 (Products)'!A58), "", 57)</f>
      </c>
      <c r="B60" s="65">
        <f>IF(ISBLANK('📦 商品出厂底价库 (Products)'!A58), "", '📦 商品出厂底价库 (Products)'!A58)</f>
      </c>
      <c r="C60" s="66">
        <f>IF(ISBLANK('📦 商品出厂底价库 (Products)'!A58), "", '📦 商品出厂底价库 (Products)'!C58)</f>
      </c>
      <c r="D60" s="67">
        <f>IF(ISBLANK('📦 商品出厂底价库 (Products)'!A58), "", '📦 商品出厂底价库 (Products)'!E58)</f>
      </c>
      <c r="E60" s="68">
        <f>IF(ISBLANK('📦 商品出厂底价库 (Products)'!A58), "", '📦 商品出厂底价库 (Products)'!N58)</f>
      </c>
      <c r="F60" s="67">
        <f>IF(ISBLANK('📦 商品出厂底价库 (Products)'!A58), "", '📦 商品出厂底价库 (Products)'!F58)</f>
      </c>
      <c r="G60" s="67">
        <f>IF(ISBLANK('📦 商品出厂底价库 (Products)'!A58), "", '📦 商品出厂底价库 (Products)'!O58)</f>
      </c>
      <c r="H60" s="67">
        <f>IF(ISBLANK('📦 商品出厂底价库 (Products)'!A58), "", '📦 商品出厂底价库 (Products)'!P58)</f>
      </c>
      <c r="I60" s="65">
        <f>IF(ISBLANK('📦 商品出厂底价库 (Products)'!A58), "", '📦 商品出厂底价库 (Products)'!J58)</f>
      </c>
    </row>
    <row r="61" ht="26" customHeight="1" spans="1:9" x14ac:dyDescent="0.25">
      <c r="A61" s="69">
        <f>IF(ISBLANK('📦 商品出厂底价库 (Products)'!A59), "", 58)</f>
      </c>
      <c r="B61" s="69">
        <f>IF(ISBLANK('📦 商品出厂底价库 (Products)'!A59), "", '📦 商品出厂底价库 (Products)'!A59)</f>
      </c>
      <c r="C61" s="70">
        <f>IF(ISBLANK('📦 商品出厂底价库 (Products)'!A59), "", '📦 商品出厂底价库 (Products)'!C59)</f>
      </c>
      <c r="D61" s="71">
        <f>IF(ISBLANK('📦 商品出厂底价库 (Products)'!A59), "", '📦 商品出厂底价库 (Products)'!E59)</f>
      </c>
      <c r="E61" s="72">
        <f>IF(ISBLANK('📦 商品出厂底价库 (Products)'!A59), "", '📦 商品出厂底价库 (Products)'!N59)</f>
      </c>
      <c r="F61" s="71">
        <f>IF(ISBLANK('📦 商品出厂底价库 (Products)'!A59), "", '📦 商品出厂底价库 (Products)'!F59)</f>
      </c>
      <c r="G61" s="71">
        <f>IF(ISBLANK('📦 商品出厂底价库 (Products)'!A59), "", '📦 商品出厂底价库 (Products)'!O59)</f>
      </c>
      <c r="H61" s="71">
        <f>IF(ISBLANK('📦 商品出厂底价库 (Products)'!A59), "", '📦 商品出厂底价库 (Products)'!P59)</f>
      </c>
      <c r="I61" s="69">
        <f>IF(ISBLANK('📦 商品出厂底价库 (Products)'!A59), "", '📦 商品出厂底价库 (Products)'!J59)</f>
      </c>
    </row>
    <row r="62" ht="26" customHeight="1" spans="1:9" x14ac:dyDescent="0.25">
      <c r="A62" s="65">
        <f>IF(ISBLANK('📦 商品出厂底价库 (Products)'!A60), "", 59)</f>
      </c>
      <c r="B62" s="65">
        <f>IF(ISBLANK('📦 商品出厂底价库 (Products)'!A60), "", '📦 商品出厂底价库 (Products)'!A60)</f>
      </c>
      <c r="C62" s="66">
        <f>IF(ISBLANK('📦 商品出厂底价库 (Products)'!A60), "", '📦 商品出厂底价库 (Products)'!C60)</f>
      </c>
      <c r="D62" s="67">
        <f>IF(ISBLANK('📦 商品出厂底价库 (Products)'!A60), "", '📦 商品出厂底价库 (Products)'!E60)</f>
      </c>
      <c r="E62" s="68">
        <f>IF(ISBLANK('📦 商品出厂底价库 (Products)'!A60), "", '📦 商品出厂底价库 (Products)'!N60)</f>
      </c>
      <c r="F62" s="67">
        <f>IF(ISBLANK('📦 商品出厂底价库 (Products)'!A60), "", '📦 商品出厂底价库 (Products)'!F60)</f>
      </c>
      <c r="G62" s="67">
        <f>IF(ISBLANK('📦 商品出厂底价库 (Products)'!A60), "", '📦 商品出厂底价库 (Products)'!O60)</f>
      </c>
      <c r="H62" s="67">
        <f>IF(ISBLANK('📦 商品出厂底价库 (Products)'!A60), "", '📦 商品出厂底价库 (Products)'!P60)</f>
      </c>
      <c r="I62" s="65">
        <f>IF(ISBLANK('📦 商品出厂底价库 (Products)'!A60), "", '📦 商品出厂底价库 (Products)'!J60)</f>
      </c>
    </row>
    <row r="63" ht="26" customHeight="1" spans="1:9" x14ac:dyDescent="0.25">
      <c r="A63" s="69">
        <f>IF(ISBLANK('📦 商品出厂底价库 (Products)'!A61), "", 60)</f>
      </c>
      <c r="B63" s="69">
        <f>IF(ISBLANK('📦 商品出厂底价库 (Products)'!A61), "", '📦 商品出厂底价库 (Products)'!A61)</f>
      </c>
      <c r="C63" s="70">
        <f>IF(ISBLANK('📦 商品出厂底价库 (Products)'!A61), "", '📦 商品出厂底价库 (Products)'!C61)</f>
      </c>
      <c r="D63" s="71">
        <f>IF(ISBLANK('📦 商品出厂底价库 (Products)'!A61), "", '📦 商品出厂底价库 (Products)'!E61)</f>
      </c>
      <c r="E63" s="72">
        <f>IF(ISBLANK('📦 商品出厂底价库 (Products)'!A61), "", '📦 商品出厂底价库 (Products)'!N61)</f>
      </c>
      <c r="F63" s="71">
        <f>IF(ISBLANK('📦 商品出厂底价库 (Products)'!A61), "", '📦 商品出厂底价库 (Products)'!F61)</f>
      </c>
      <c r="G63" s="71">
        <f>IF(ISBLANK('📦 商品出厂底价库 (Products)'!A61), "", '📦 商品出厂底价库 (Products)'!O61)</f>
      </c>
      <c r="H63" s="71">
        <f>IF(ISBLANK('📦 商品出厂底价库 (Products)'!A61), "", '📦 商品出厂底价库 (Products)'!P61)</f>
      </c>
      <c r="I63" s="69">
        <f>IF(ISBLANK('📦 商品出厂底价库 (Products)'!A61), "", '📦 商品出厂底价库 (Products)'!J61)</f>
      </c>
    </row>
    <row r="64" ht="26" customHeight="1" spans="1:9" x14ac:dyDescent="0.25">
      <c r="A64" s="65">
        <f>IF(ISBLANK('📦 商品出厂底价库 (Products)'!A62), "", 61)</f>
      </c>
      <c r="B64" s="65">
        <f>IF(ISBLANK('📦 商品出厂底价库 (Products)'!A62), "", '📦 商品出厂底价库 (Products)'!A62)</f>
      </c>
      <c r="C64" s="66">
        <f>IF(ISBLANK('📦 商品出厂底价库 (Products)'!A62), "", '📦 商品出厂底价库 (Products)'!C62)</f>
      </c>
      <c r="D64" s="67">
        <f>IF(ISBLANK('📦 商品出厂底价库 (Products)'!A62), "", '📦 商品出厂底价库 (Products)'!E62)</f>
      </c>
      <c r="E64" s="68">
        <f>IF(ISBLANK('📦 商品出厂底价库 (Products)'!A62), "", '📦 商品出厂底价库 (Products)'!N62)</f>
      </c>
      <c r="F64" s="67">
        <f>IF(ISBLANK('📦 商品出厂底价库 (Products)'!A62), "", '📦 商品出厂底价库 (Products)'!F62)</f>
      </c>
      <c r="G64" s="67">
        <f>IF(ISBLANK('📦 商品出厂底价库 (Products)'!A62), "", '📦 商品出厂底价库 (Products)'!O62)</f>
      </c>
      <c r="H64" s="67">
        <f>IF(ISBLANK('📦 商品出厂底价库 (Products)'!A62), "", '📦 商品出厂底价库 (Products)'!P62)</f>
      </c>
      <c r="I64" s="65">
        <f>IF(ISBLANK('📦 商品出厂底价库 (Products)'!A62), "", '📦 商品出厂底价库 (Products)'!J62)</f>
      </c>
    </row>
    <row r="65" ht="26" customHeight="1" spans="1:9" x14ac:dyDescent="0.25">
      <c r="A65" s="69">
        <f>IF(ISBLANK('📦 商品出厂底价库 (Products)'!A63), "", 62)</f>
      </c>
      <c r="B65" s="69">
        <f>IF(ISBLANK('📦 商品出厂底价库 (Products)'!A63), "", '📦 商品出厂底价库 (Products)'!A63)</f>
      </c>
      <c r="C65" s="70">
        <f>IF(ISBLANK('📦 商品出厂底价库 (Products)'!A63), "", '📦 商品出厂底价库 (Products)'!C63)</f>
      </c>
      <c r="D65" s="71">
        <f>IF(ISBLANK('📦 商品出厂底价库 (Products)'!A63), "", '📦 商品出厂底价库 (Products)'!E63)</f>
      </c>
      <c r="E65" s="72">
        <f>IF(ISBLANK('📦 商品出厂底价库 (Products)'!A63), "", '📦 商品出厂底价库 (Products)'!N63)</f>
      </c>
      <c r="F65" s="71">
        <f>IF(ISBLANK('📦 商品出厂底价库 (Products)'!A63), "", '📦 商品出厂底价库 (Products)'!F63)</f>
      </c>
      <c r="G65" s="71">
        <f>IF(ISBLANK('📦 商品出厂底价库 (Products)'!A63), "", '📦 商品出厂底价库 (Products)'!O63)</f>
      </c>
      <c r="H65" s="71">
        <f>IF(ISBLANK('📦 商品出厂底价库 (Products)'!A63), "", '📦 商品出厂底价库 (Products)'!P63)</f>
      </c>
      <c r="I65" s="69">
        <f>IF(ISBLANK('📦 商品出厂底价库 (Products)'!A63), "", '📦 商品出厂底价库 (Products)'!J63)</f>
      </c>
    </row>
    <row r="66" ht="26" customHeight="1" spans="1:9" x14ac:dyDescent="0.25">
      <c r="A66" s="65">
        <f>IF(ISBLANK('📦 商品出厂底价库 (Products)'!A64), "", 63)</f>
      </c>
      <c r="B66" s="65">
        <f>IF(ISBLANK('📦 商品出厂底价库 (Products)'!A64), "", '📦 商品出厂底价库 (Products)'!A64)</f>
      </c>
      <c r="C66" s="66">
        <f>IF(ISBLANK('📦 商品出厂底价库 (Products)'!A64), "", '📦 商品出厂底价库 (Products)'!C64)</f>
      </c>
      <c r="D66" s="67">
        <f>IF(ISBLANK('📦 商品出厂底价库 (Products)'!A64), "", '📦 商品出厂底价库 (Products)'!E64)</f>
      </c>
      <c r="E66" s="68">
        <f>IF(ISBLANK('📦 商品出厂底价库 (Products)'!A64), "", '📦 商品出厂底价库 (Products)'!N64)</f>
      </c>
      <c r="F66" s="67">
        <f>IF(ISBLANK('📦 商品出厂底价库 (Products)'!A64), "", '📦 商品出厂底价库 (Products)'!F64)</f>
      </c>
      <c r="G66" s="67">
        <f>IF(ISBLANK('📦 商品出厂底价库 (Products)'!A64), "", '📦 商品出厂底价库 (Products)'!O64)</f>
      </c>
      <c r="H66" s="67">
        <f>IF(ISBLANK('📦 商品出厂底价库 (Products)'!A64), "", '📦 商品出厂底价库 (Products)'!P64)</f>
      </c>
      <c r="I66" s="65">
        <f>IF(ISBLANK('📦 商品出厂底价库 (Products)'!A64), "", '📦 商品出厂底价库 (Products)'!J64)</f>
      </c>
    </row>
    <row r="67" ht="26" customHeight="1" spans="1:9" x14ac:dyDescent="0.25">
      <c r="A67" s="69">
        <f>IF(ISBLANK('📦 商品出厂底价库 (Products)'!A65), "", 64)</f>
      </c>
      <c r="B67" s="69">
        <f>IF(ISBLANK('📦 商品出厂底价库 (Products)'!A65), "", '📦 商品出厂底价库 (Products)'!A65)</f>
      </c>
      <c r="C67" s="70">
        <f>IF(ISBLANK('📦 商品出厂底价库 (Products)'!A65), "", '📦 商品出厂底价库 (Products)'!C65)</f>
      </c>
      <c r="D67" s="71">
        <f>IF(ISBLANK('📦 商品出厂底价库 (Products)'!A65), "", '📦 商品出厂底价库 (Products)'!E65)</f>
      </c>
      <c r="E67" s="72">
        <f>IF(ISBLANK('📦 商品出厂底价库 (Products)'!A65), "", '📦 商品出厂底价库 (Products)'!N65)</f>
      </c>
      <c r="F67" s="71">
        <f>IF(ISBLANK('📦 商品出厂底价库 (Products)'!A65), "", '📦 商品出厂底价库 (Products)'!F65)</f>
      </c>
      <c r="G67" s="71">
        <f>IF(ISBLANK('📦 商品出厂底价库 (Products)'!A65), "", '📦 商品出厂底价库 (Products)'!O65)</f>
      </c>
      <c r="H67" s="71">
        <f>IF(ISBLANK('📦 商品出厂底价库 (Products)'!A65), "", '📦 商品出厂底价库 (Products)'!P65)</f>
      </c>
      <c r="I67" s="69">
        <f>IF(ISBLANK('📦 商品出厂底价库 (Products)'!A65), "", '📦 商品出厂底价库 (Products)'!J65)</f>
      </c>
    </row>
    <row r="68" ht="26" customHeight="1" spans="1:9" x14ac:dyDescent="0.25">
      <c r="A68" s="65">
        <f>IF(ISBLANK('📦 商品出厂底价库 (Products)'!A66), "", 65)</f>
      </c>
      <c r="B68" s="65">
        <f>IF(ISBLANK('📦 商品出厂底价库 (Products)'!A66), "", '📦 商品出厂底价库 (Products)'!A66)</f>
      </c>
      <c r="C68" s="66">
        <f>IF(ISBLANK('📦 商品出厂底价库 (Products)'!A66), "", '📦 商品出厂底价库 (Products)'!C66)</f>
      </c>
      <c r="D68" s="67">
        <f>IF(ISBLANK('📦 商品出厂底价库 (Products)'!A66), "", '📦 商品出厂底价库 (Products)'!E66)</f>
      </c>
      <c r="E68" s="68">
        <f>IF(ISBLANK('📦 商品出厂底价库 (Products)'!A66), "", '📦 商品出厂底价库 (Products)'!N66)</f>
      </c>
      <c r="F68" s="67">
        <f>IF(ISBLANK('📦 商品出厂底价库 (Products)'!A66), "", '📦 商品出厂底价库 (Products)'!F66)</f>
      </c>
      <c r="G68" s="67">
        <f>IF(ISBLANK('📦 商品出厂底价库 (Products)'!A66), "", '📦 商品出厂底价库 (Products)'!O66)</f>
      </c>
      <c r="H68" s="67">
        <f>IF(ISBLANK('📦 商品出厂底价库 (Products)'!A66), "", '📦 商品出厂底价库 (Products)'!P66)</f>
      </c>
      <c r="I68" s="65">
        <f>IF(ISBLANK('📦 商品出厂底价库 (Products)'!A66), "", '📦 商品出厂底价库 (Products)'!J66)</f>
      </c>
    </row>
    <row r="69" ht="26" customHeight="1" spans="1:9" x14ac:dyDescent="0.25">
      <c r="A69" s="69">
        <f>IF(ISBLANK('📦 商品出厂底价库 (Products)'!A67), "", 66)</f>
      </c>
      <c r="B69" s="69">
        <f>IF(ISBLANK('📦 商品出厂底价库 (Products)'!A67), "", '📦 商品出厂底价库 (Products)'!A67)</f>
      </c>
      <c r="C69" s="70">
        <f>IF(ISBLANK('📦 商品出厂底价库 (Products)'!A67), "", '📦 商品出厂底价库 (Products)'!C67)</f>
      </c>
      <c r="D69" s="71">
        <f>IF(ISBLANK('📦 商品出厂底价库 (Products)'!A67), "", '📦 商品出厂底价库 (Products)'!E67)</f>
      </c>
      <c r="E69" s="72">
        <f>IF(ISBLANK('📦 商品出厂底价库 (Products)'!A67), "", '📦 商品出厂底价库 (Products)'!N67)</f>
      </c>
      <c r="F69" s="71">
        <f>IF(ISBLANK('📦 商品出厂底价库 (Products)'!A67), "", '📦 商品出厂底价库 (Products)'!F67)</f>
      </c>
      <c r="G69" s="71">
        <f>IF(ISBLANK('📦 商品出厂底价库 (Products)'!A67), "", '📦 商品出厂底价库 (Products)'!O67)</f>
      </c>
      <c r="H69" s="71">
        <f>IF(ISBLANK('📦 商品出厂底价库 (Products)'!A67), "", '📦 商品出厂底价库 (Products)'!P67)</f>
      </c>
      <c r="I69" s="69">
        <f>IF(ISBLANK('📦 商品出厂底价库 (Products)'!A67), "", '📦 商品出厂底价库 (Products)'!J67)</f>
      </c>
    </row>
    <row r="70" ht="26" customHeight="1" spans="1:9" x14ac:dyDescent="0.25">
      <c r="A70" s="65">
        <f>IF(ISBLANK('📦 商品出厂底价库 (Products)'!A68), "", 67)</f>
      </c>
      <c r="B70" s="65">
        <f>IF(ISBLANK('📦 商品出厂底价库 (Products)'!A68), "", '📦 商品出厂底价库 (Products)'!A68)</f>
      </c>
      <c r="C70" s="66">
        <f>IF(ISBLANK('📦 商品出厂底价库 (Products)'!A68), "", '📦 商品出厂底价库 (Products)'!C68)</f>
      </c>
      <c r="D70" s="67">
        <f>IF(ISBLANK('📦 商品出厂底价库 (Products)'!A68), "", '📦 商品出厂底价库 (Products)'!E68)</f>
      </c>
      <c r="E70" s="68">
        <f>IF(ISBLANK('📦 商品出厂底价库 (Products)'!A68), "", '📦 商品出厂底价库 (Products)'!N68)</f>
      </c>
      <c r="F70" s="67">
        <f>IF(ISBLANK('📦 商品出厂底价库 (Products)'!A68), "", '📦 商品出厂底价库 (Products)'!F68)</f>
      </c>
      <c r="G70" s="67">
        <f>IF(ISBLANK('📦 商品出厂底价库 (Products)'!A68), "", '📦 商品出厂底价库 (Products)'!O68)</f>
      </c>
      <c r="H70" s="67">
        <f>IF(ISBLANK('📦 商品出厂底价库 (Products)'!A68), "", '📦 商品出厂底价库 (Products)'!P68)</f>
      </c>
      <c r="I70" s="65">
        <f>IF(ISBLANK('📦 商品出厂底价库 (Products)'!A68), "", '📦 商品出厂底价库 (Products)'!J68)</f>
      </c>
    </row>
    <row r="71" ht="26" customHeight="1" spans="1:9" x14ac:dyDescent="0.25">
      <c r="A71" s="69">
        <f>IF(ISBLANK('📦 商品出厂底价库 (Products)'!A69), "", 68)</f>
      </c>
      <c r="B71" s="69">
        <f>IF(ISBLANK('📦 商品出厂底价库 (Products)'!A69), "", '📦 商品出厂底价库 (Products)'!A69)</f>
      </c>
      <c r="C71" s="70">
        <f>IF(ISBLANK('📦 商品出厂底价库 (Products)'!A69), "", '📦 商品出厂底价库 (Products)'!C69)</f>
      </c>
      <c r="D71" s="71">
        <f>IF(ISBLANK('📦 商品出厂底价库 (Products)'!A69), "", '📦 商品出厂底价库 (Products)'!E69)</f>
      </c>
      <c r="E71" s="72">
        <f>IF(ISBLANK('📦 商品出厂底价库 (Products)'!A69), "", '📦 商品出厂底价库 (Products)'!N69)</f>
      </c>
      <c r="F71" s="71">
        <f>IF(ISBLANK('📦 商品出厂底价库 (Products)'!A69), "", '📦 商品出厂底价库 (Products)'!F69)</f>
      </c>
      <c r="G71" s="71">
        <f>IF(ISBLANK('📦 商品出厂底价库 (Products)'!A69), "", '📦 商品出厂底价库 (Products)'!O69)</f>
      </c>
      <c r="H71" s="71">
        <f>IF(ISBLANK('📦 商品出厂底价库 (Products)'!A69), "", '📦 商品出厂底价库 (Products)'!P69)</f>
      </c>
      <c r="I71" s="69">
        <f>IF(ISBLANK('📦 商品出厂底价库 (Products)'!A69), "", '📦 商品出厂底价库 (Products)'!J69)</f>
      </c>
    </row>
    <row r="72" ht="26" customHeight="1" spans="1:9" x14ac:dyDescent="0.25">
      <c r="A72" s="65">
        <f>IF(ISBLANK('📦 商品出厂底价库 (Products)'!A70), "", 69)</f>
      </c>
      <c r="B72" s="65">
        <f>IF(ISBLANK('📦 商品出厂底价库 (Products)'!A70), "", '📦 商品出厂底价库 (Products)'!A70)</f>
      </c>
      <c r="C72" s="66">
        <f>IF(ISBLANK('📦 商品出厂底价库 (Products)'!A70), "", '📦 商品出厂底价库 (Products)'!C70)</f>
      </c>
      <c r="D72" s="67">
        <f>IF(ISBLANK('📦 商品出厂底价库 (Products)'!A70), "", '📦 商品出厂底价库 (Products)'!E70)</f>
      </c>
      <c r="E72" s="68">
        <f>IF(ISBLANK('📦 商品出厂底价库 (Products)'!A70), "", '📦 商品出厂底价库 (Products)'!N70)</f>
      </c>
      <c r="F72" s="67">
        <f>IF(ISBLANK('📦 商品出厂底价库 (Products)'!A70), "", '📦 商品出厂底价库 (Products)'!F70)</f>
      </c>
      <c r="G72" s="67">
        <f>IF(ISBLANK('📦 商品出厂底价库 (Products)'!A70), "", '📦 商品出厂底价库 (Products)'!O70)</f>
      </c>
      <c r="H72" s="67">
        <f>IF(ISBLANK('📦 商品出厂底价库 (Products)'!A70), "", '📦 商品出厂底价库 (Products)'!P70)</f>
      </c>
      <c r="I72" s="65">
        <f>IF(ISBLANK('📦 商品出厂底价库 (Products)'!A70), "", '📦 商品出厂底价库 (Products)'!J70)</f>
      </c>
    </row>
    <row r="73" ht="26" customHeight="1" spans="1:9" x14ac:dyDescent="0.25">
      <c r="A73" s="69">
        <f>IF(ISBLANK('📦 商品出厂底价库 (Products)'!A71), "", 70)</f>
      </c>
      <c r="B73" s="69">
        <f>IF(ISBLANK('📦 商品出厂底价库 (Products)'!A71), "", '📦 商品出厂底价库 (Products)'!A71)</f>
      </c>
      <c r="C73" s="70">
        <f>IF(ISBLANK('📦 商品出厂底价库 (Products)'!A71), "", '📦 商品出厂底价库 (Products)'!C71)</f>
      </c>
      <c r="D73" s="71">
        <f>IF(ISBLANK('📦 商品出厂底价库 (Products)'!A71), "", '📦 商品出厂底价库 (Products)'!E71)</f>
      </c>
      <c r="E73" s="72">
        <f>IF(ISBLANK('📦 商品出厂底价库 (Products)'!A71), "", '📦 商品出厂底价库 (Products)'!N71)</f>
      </c>
      <c r="F73" s="71">
        <f>IF(ISBLANK('📦 商品出厂底价库 (Products)'!A71), "", '📦 商品出厂底价库 (Products)'!F71)</f>
      </c>
      <c r="G73" s="71">
        <f>IF(ISBLANK('📦 商品出厂底价库 (Products)'!A71), "", '📦 商品出厂底价库 (Products)'!O71)</f>
      </c>
      <c r="H73" s="71">
        <f>IF(ISBLANK('📦 商品出厂底价库 (Products)'!A71), "", '📦 商品出厂底价库 (Products)'!P71)</f>
      </c>
      <c r="I73" s="69">
        <f>IF(ISBLANK('📦 商品出厂底价库 (Products)'!A71), "", '📦 商品出厂底价库 (Products)'!J71)</f>
      </c>
    </row>
    <row r="74" ht="26" customHeight="1" spans="1:9" x14ac:dyDescent="0.25">
      <c r="A74" s="65">
        <f>IF(ISBLANK('📦 商品出厂底价库 (Products)'!A72), "", 71)</f>
      </c>
      <c r="B74" s="65">
        <f>IF(ISBLANK('📦 商品出厂底价库 (Products)'!A72), "", '📦 商品出厂底价库 (Products)'!A72)</f>
      </c>
      <c r="C74" s="66">
        <f>IF(ISBLANK('📦 商品出厂底价库 (Products)'!A72), "", '📦 商品出厂底价库 (Products)'!C72)</f>
      </c>
      <c r="D74" s="67">
        <f>IF(ISBLANK('📦 商品出厂底价库 (Products)'!A72), "", '📦 商品出厂底价库 (Products)'!E72)</f>
      </c>
      <c r="E74" s="68">
        <f>IF(ISBLANK('📦 商品出厂底价库 (Products)'!A72), "", '📦 商品出厂底价库 (Products)'!N72)</f>
      </c>
      <c r="F74" s="67">
        <f>IF(ISBLANK('📦 商品出厂底价库 (Products)'!A72), "", '📦 商品出厂底价库 (Products)'!F72)</f>
      </c>
      <c r="G74" s="67">
        <f>IF(ISBLANK('📦 商品出厂底价库 (Products)'!A72), "", '📦 商品出厂底价库 (Products)'!O72)</f>
      </c>
      <c r="H74" s="67">
        <f>IF(ISBLANK('📦 商品出厂底价库 (Products)'!A72), "", '📦 商品出厂底价库 (Products)'!P72)</f>
      </c>
      <c r="I74" s="65">
        <f>IF(ISBLANK('📦 商品出厂底价库 (Products)'!A72), "", '📦 商品出厂底价库 (Products)'!J72)</f>
      </c>
    </row>
    <row r="75" ht="26" customHeight="1" spans="1:9" x14ac:dyDescent="0.25">
      <c r="A75" s="69">
        <f>IF(ISBLANK('📦 商品出厂底价库 (Products)'!A73), "", 72)</f>
      </c>
      <c r="B75" s="69">
        <f>IF(ISBLANK('📦 商品出厂底价库 (Products)'!A73), "", '📦 商品出厂底价库 (Products)'!A73)</f>
      </c>
      <c r="C75" s="70">
        <f>IF(ISBLANK('📦 商品出厂底价库 (Products)'!A73), "", '📦 商品出厂底价库 (Products)'!C73)</f>
      </c>
      <c r="D75" s="71">
        <f>IF(ISBLANK('📦 商品出厂底价库 (Products)'!A73), "", '📦 商品出厂底价库 (Products)'!E73)</f>
      </c>
      <c r="E75" s="72">
        <f>IF(ISBLANK('📦 商品出厂底价库 (Products)'!A73), "", '📦 商品出厂底价库 (Products)'!N73)</f>
      </c>
      <c r="F75" s="71">
        <f>IF(ISBLANK('📦 商品出厂底价库 (Products)'!A73), "", '📦 商品出厂底价库 (Products)'!F73)</f>
      </c>
      <c r="G75" s="71">
        <f>IF(ISBLANK('📦 商品出厂底价库 (Products)'!A73), "", '📦 商品出厂底价库 (Products)'!O73)</f>
      </c>
      <c r="H75" s="71">
        <f>IF(ISBLANK('📦 商品出厂底价库 (Products)'!A73), "", '📦 商品出厂底价库 (Products)'!P73)</f>
      </c>
      <c r="I75" s="69">
        <f>IF(ISBLANK('📦 商品出厂底价库 (Products)'!A73), "", '📦 商品出厂底价库 (Products)'!J73)</f>
      </c>
    </row>
    <row r="76" ht="26" customHeight="1" spans="1:9" x14ac:dyDescent="0.25">
      <c r="A76" s="65">
        <f>IF(ISBLANK('📦 商品出厂底价库 (Products)'!A74), "", 73)</f>
      </c>
      <c r="B76" s="65">
        <f>IF(ISBLANK('📦 商品出厂底价库 (Products)'!A74), "", '📦 商品出厂底价库 (Products)'!A74)</f>
      </c>
      <c r="C76" s="66">
        <f>IF(ISBLANK('📦 商品出厂底价库 (Products)'!A74), "", '📦 商品出厂底价库 (Products)'!C74)</f>
      </c>
      <c r="D76" s="67">
        <f>IF(ISBLANK('📦 商品出厂底价库 (Products)'!A74), "", '📦 商品出厂底价库 (Products)'!E74)</f>
      </c>
      <c r="E76" s="68">
        <f>IF(ISBLANK('📦 商品出厂底价库 (Products)'!A74), "", '📦 商品出厂底价库 (Products)'!N74)</f>
      </c>
      <c r="F76" s="67">
        <f>IF(ISBLANK('📦 商品出厂底价库 (Products)'!A74), "", '📦 商品出厂底价库 (Products)'!F74)</f>
      </c>
      <c r="G76" s="67">
        <f>IF(ISBLANK('📦 商品出厂底价库 (Products)'!A74), "", '📦 商品出厂底价库 (Products)'!O74)</f>
      </c>
      <c r="H76" s="67">
        <f>IF(ISBLANK('📦 商品出厂底价库 (Products)'!A74), "", '📦 商品出厂底价库 (Products)'!P74)</f>
      </c>
      <c r="I76" s="65">
        <f>IF(ISBLANK('📦 商品出厂底价库 (Products)'!A74), "", '📦 商品出厂底价库 (Products)'!J74)</f>
      </c>
    </row>
    <row r="77" ht="26" customHeight="1" spans="1:9" x14ac:dyDescent="0.25">
      <c r="A77" s="69">
        <f>IF(ISBLANK('📦 商品出厂底价库 (Products)'!A75), "", 74)</f>
      </c>
      <c r="B77" s="69">
        <f>IF(ISBLANK('📦 商品出厂底价库 (Products)'!A75), "", '📦 商品出厂底价库 (Products)'!A75)</f>
      </c>
      <c r="C77" s="70">
        <f>IF(ISBLANK('📦 商品出厂底价库 (Products)'!A75), "", '📦 商品出厂底价库 (Products)'!C75)</f>
      </c>
      <c r="D77" s="71">
        <f>IF(ISBLANK('📦 商品出厂底价库 (Products)'!A75), "", '📦 商品出厂底价库 (Products)'!E75)</f>
      </c>
      <c r="E77" s="72">
        <f>IF(ISBLANK('📦 商品出厂底价库 (Products)'!A75), "", '📦 商品出厂底价库 (Products)'!N75)</f>
      </c>
      <c r="F77" s="71">
        <f>IF(ISBLANK('📦 商品出厂底价库 (Products)'!A75), "", '📦 商品出厂底价库 (Products)'!F75)</f>
      </c>
      <c r="G77" s="71">
        <f>IF(ISBLANK('📦 商品出厂底价库 (Products)'!A75), "", '📦 商品出厂底价库 (Products)'!O75)</f>
      </c>
      <c r="H77" s="71">
        <f>IF(ISBLANK('📦 商品出厂底价库 (Products)'!A75), "", '📦 商品出厂底价库 (Products)'!P75)</f>
      </c>
      <c r="I77" s="69">
        <f>IF(ISBLANK('📦 商品出厂底价库 (Products)'!A75), "", '📦 商品出厂底价库 (Products)'!J75)</f>
      </c>
    </row>
    <row r="78" ht="26" customHeight="1" spans="1:9" x14ac:dyDescent="0.25">
      <c r="A78" s="65">
        <f>IF(ISBLANK('📦 商品出厂底价库 (Products)'!A76), "", 75)</f>
      </c>
      <c r="B78" s="65">
        <f>IF(ISBLANK('📦 商品出厂底价库 (Products)'!A76), "", '📦 商品出厂底价库 (Products)'!A76)</f>
      </c>
      <c r="C78" s="66">
        <f>IF(ISBLANK('📦 商品出厂底价库 (Products)'!A76), "", '📦 商品出厂底价库 (Products)'!C76)</f>
      </c>
      <c r="D78" s="67">
        <f>IF(ISBLANK('📦 商品出厂底价库 (Products)'!A76), "", '📦 商品出厂底价库 (Products)'!E76)</f>
      </c>
      <c r="E78" s="68">
        <f>IF(ISBLANK('📦 商品出厂底价库 (Products)'!A76), "", '📦 商品出厂底价库 (Products)'!N76)</f>
      </c>
      <c r="F78" s="67">
        <f>IF(ISBLANK('📦 商品出厂底价库 (Products)'!A76), "", '📦 商品出厂底价库 (Products)'!F76)</f>
      </c>
      <c r="G78" s="67">
        <f>IF(ISBLANK('📦 商品出厂底价库 (Products)'!A76), "", '📦 商品出厂底价库 (Products)'!O76)</f>
      </c>
      <c r="H78" s="67">
        <f>IF(ISBLANK('📦 商品出厂底价库 (Products)'!A76), "", '📦 商品出厂底价库 (Products)'!P76)</f>
      </c>
      <c r="I78" s="65">
        <f>IF(ISBLANK('📦 商品出厂底价库 (Products)'!A76), "", '📦 商品出厂底价库 (Products)'!J76)</f>
      </c>
    </row>
    <row r="79" ht="26" customHeight="1" spans="1:9" x14ac:dyDescent="0.25">
      <c r="A79" s="69">
        <f>IF(ISBLANK('📦 商品出厂底价库 (Products)'!A77), "", 76)</f>
      </c>
      <c r="B79" s="69">
        <f>IF(ISBLANK('📦 商品出厂底价库 (Products)'!A77), "", '📦 商品出厂底价库 (Products)'!A77)</f>
      </c>
      <c r="C79" s="70">
        <f>IF(ISBLANK('📦 商品出厂底价库 (Products)'!A77), "", '📦 商品出厂底价库 (Products)'!C77)</f>
      </c>
      <c r="D79" s="71">
        <f>IF(ISBLANK('📦 商品出厂底价库 (Products)'!A77), "", '📦 商品出厂底价库 (Products)'!E77)</f>
      </c>
      <c r="E79" s="72">
        <f>IF(ISBLANK('📦 商品出厂底价库 (Products)'!A77), "", '📦 商品出厂底价库 (Products)'!N77)</f>
      </c>
      <c r="F79" s="71">
        <f>IF(ISBLANK('📦 商品出厂底价库 (Products)'!A77), "", '📦 商品出厂底价库 (Products)'!F77)</f>
      </c>
      <c r="G79" s="71">
        <f>IF(ISBLANK('📦 商品出厂底价库 (Products)'!A77), "", '📦 商品出厂底价库 (Products)'!O77)</f>
      </c>
      <c r="H79" s="71">
        <f>IF(ISBLANK('📦 商品出厂底价库 (Products)'!A77), "", '📦 商品出厂底价库 (Products)'!P77)</f>
      </c>
      <c r="I79" s="69">
        <f>IF(ISBLANK('📦 商品出厂底价库 (Products)'!A77), "", '📦 商品出厂底价库 (Products)'!J77)</f>
      </c>
    </row>
    <row r="80" ht="26" customHeight="1" spans="1:9" x14ac:dyDescent="0.25">
      <c r="A80" s="65">
        <f>IF(ISBLANK('📦 商品出厂底价库 (Products)'!A78), "", 77)</f>
      </c>
      <c r="B80" s="65">
        <f>IF(ISBLANK('📦 商品出厂底价库 (Products)'!A78), "", '📦 商品出厂底价库 (Products)'!A78)</f>
      </c>
      <c r="C80" s="66">
        <f>IF(ISBLANK('📦 商品出厂底价库 (Products)'!A78), "", '📦 商品出厂底价库 (Products)'!C78)</f>
      </c>
      <c r="D80" s="67">
        <f>IF(ISBLANK('📦 商品出厂底价库 (Products)'!A78), "", '📦 商品出厂底价库 (Products)'!E78)</f>
      </c>
      <c r="E80" s="68">
        <f>IF(ISBLANK('📦 商品出厂底价库 (Products)'!A78), "", '📦 商品出厂底价库 (Products)'!N78)</f>
      </c>
      <c r="F80" s="67">
        <f>IF(ISBLANK('📦 商品出厂底价库 (Products)'!A78), "", '📦 商品出厂底价库 (Products)'!F78)</f>
      </c>
      <c r="G80" s="67">
        <f>IF(ISBLANK('📦 商品出厂底价库 (Products)'!A78), "", '📦 商品出厂底价库 (Products)'!O78)</f>
      </c>
      <c r="H80" s="67">
        <f>IF(ISBLANK('📦 商品出厂底价库 (Products)'!A78), "", '📦 商品出厂底价库 (Products)'!P78)</f>
      </c>
      <c r="I80" s="65">
        <f>IF(ISBLANK('📦 商品出厂底价库 (Products)'!A78), "", '📦 商品出厂底价库 (Products)'!J78)</f>
      </c>
    </row>
    <row r="81" ht="26" customHeight="1" spans="1:9" x14ac:dyDescent="0.25">
      <c r="A81" s="69">
        <f>IF(ISBLANK('📦 商品出厂底价库 (Products)'!A79), "", 78)</f>
      </c>
      <c r="B81" s="69">
        <f>IF(ISBLANK('📦 商品出厂底价库 (Products)'!A79), "", '📦 商品出厂底价库 (Products)'!A79)</f>
      </c>
      <c r="C81" s="70">
        <f>IF(ISBLANK('📦 商品出厂底价库 (Products)'!A79), "", '📦 商品出厂底价库 (Products)'!C79)</f>
      </c>
      <c r="D81" s="71">
        <f>IF(ISBLANK('📦 商品出厂底价库 (Products)'!A79), "", '📦 商品出厂底价库 (Products)'!E79)</f>
      </c>
      <c r="E81" s="72">
        <f>IF(ISBLANK('📦 商品出厂底价库 (Products)'!A79), "", '📦 商品出厂底价库 (Products)'!N79)</f>
      </c>
      <c r="F81" s="71">
        <f>IF(ISBLANK('📦 商品出厂底价库 (Products)'!A79), "", '📦 商品出厂底价库 (Products)'!F79)</f>
      </c>
      <c r="G81" s="71">
        <f>IF(ISBLANK('📦 商品出厂底价库 (Products)'!A79), "", '📦 商品出厂底价库 (Products)'!O79)</f>
      </c>
      <c r="H81" s="71">
        <f>IF(ISBLANK('📦 商品出厂底价库 (Products)'!A79), "", '📦 商品出厂底价库 (Products)'!P79)</f>
      </c>
      <c r="I81" s="69">
        <f>IF(ISBLANK('📦 商品出厂底价库 (Products)'!A79), "", '📦 商品出厂底价库 (Products)'!J79)</f>
      </c>
    </row>
    <row r="82" ht="26" customHeight="1" spans="1:9" x14ac:dyDescent="0.25">
      <c r="A82" s="65">
        <f>IF(ISBLANK('📦 商品出厂底价库 (Products)'!A80), "", 79)</f>
      </c>
      <c r="B82" s="65">
        <f>IF(ISBLANK('📦 商品出厂底价库 (Products)'!A80), "", '📦 商品出厂底价库 (Products)'!A80)</f>
      </c>
      <c r="C82" s="66">
        <f>IF(ISBLANK('📦 商品出厂底价库 (Products)'!A80), "", '📦 商品出厂底价库 (Products)'!C80)</f>
      </c>
      <c r="D82" s="67">
        <f>IF(ISBLANK('📦 商品出厂底价库 (Products)'!A80), "", '📦 商品出厂底价库 (Products)'!E80)</f>
      </c>
      <c r="E82" s="68">
        <f>IF(ISBLANK('📦 商品出厂底价库 (Products)'!A80), "", '📦 商品出厂底价库 (Products)'!N80)</f>
      </c>
      <c r="F82" s="67">
        <f>IF(ISBLANK('📦 商品出厂底价库 (Products)'!A80), "", '📦 商品出厂底价库 (Products)'!F80)</f>
      </c>
      <c r="G82" s="67">
        <f>IF(ISBLANK('📦 商品出厂底价库 (Products)'!A80), "", '📦 商品出厂底价库 (Products)'!O80)</f>
      </c>
      <c r="H82" s="67">
        <f>IF(ISBLANK('📦 商品出厂底价库 (Products)'!A80), "", '📦 商品出厂底价库 (Products)'!P80)</f>
      </c>
      <c r="I82" s="65">
        <f>IF(ISBLANK('📦 商品出厂底价库 (Products)'!A80), "", '📦 商品出厂底价库 (Products)'!J80)</f>
      </c>
    </row>
    <row r="83" ht="26" customHeight="1" spans="1:9" x14ac:dyDescent="0.25">
      <c r="A83" s="69">
        <f>IF(ISBLANK('📦 商品出厂底价库 (Products)'!A81), "", 80)</f>
      </c>
      <c r="B83" s="69">
        <f>IF(ISBLANK('📦 商品出厂底价库 (Products)'!A81), "", '📦 商品出厂底价库 (Products)'!A81)</f>
      </c>
      <c r="C83" s="70">
        <f>IF(ISBLANK('📦 商品出厂底价库 (Products)'!A81), "", '📦 商品出厂底价库 (Products)'!C81)</f>
      </c>
      <c r="D83" s="71">
        <f>IF(ISBLANK('📦 商品出厂底价库 (Products)'!A81), "", '📦 商品出厂底价库 (Products)'!E81)</f>
      </c>
      <c r="E83" s="72">
        <f>IF(ISBLANK('📦 商品出厂底价库 (Products)'!A81), "", '📦 商品出厂底价库 (Products)'!N81)</f>
      </c>
      <c r="F83" s="71">
        <f>IF(ISBLANK('📦 商品出厂底价库 (Products)'!A81), "", '📦 商品出厂底价库 (Products)'!F81)</f>
      </c>
      <c r="G83" s="71">
        <f>IF(ISBLANK('📦 商品出厂底价库 (Products)'!A81), "", '📦 商品出厂底价库 (Products)'!O81)</f>
      </c>
      <c r="H83" s="71">
        <f>IF(ISBLANK('📦 商品出厂底价库 (Products)'!A81), "", '📦 商品出厂底价库 (Products)'!P81)</f>
      </c>
      <c r="I83" s="69">
        <f>IF(ISBLANK('📦 商品出厂底价库 (Products)'!A81), "", '📦 商品出厂底价库 (Products)'!J81)</f>
      </c>
    </row>
    <row r="84" ht="26" customHeight="1" spans="1:9" x14ac:dyDescent="0.25">
      <c r="A84" s="65">
        <f>IF(ISBLANK('📦 商品出厂底价库 (Products)'!A82), "", 81)</f>
      </c>
      <c r="B84" s="65">
        <f>IF(ISBLANK('📦 商品出厂底价库 (Products)'!A82), "", '📦 商品出厂底价库 (Products)'!A82)</f>
      </c>
      <c r="C84" s="66">
        <f>IF(ISBLANK('📦 商品出厂底价库 (Products)'!A82), "", '📦 商品出厂底价库 (Products)'!C82)</f>
      </c>
      <c r="D84" s="67">
        <f>IF(ISBLANK('📦 商品出厂底价库 (Products)'!A82), "", '📦 商品出厂底价库 (Products)'!E82)</f>
      </c>
      <c r="E84" s="68">
        <f>IF(ISBLANK('📦 商品出厂底价库 (Products)'!A82), "", '📦 商品出厂底价库 (Products)'!N82)</f>
      </c>
      <c r="F84" s="67">
        <f>IF(ISBLANK('📦 商品出厂底价库 (Products)'!A82), "", '📦 商品出厂底价库 (Products)'!F82)</f>
      </c>
      <c r="G84" s="67">
        <f>IF(ISBLANK('📦 商品出厂底价库 (Products)'!A82), "", '📦 商品出厂底价库 (Products)'!O82)</f>
      </c>
      <c r="H84" s="67">
        <f>IF(ISBLANK('📦 商品出厂底价库 (Products)'!A82), "", '📦 商品出厂底价库 (Products)'!P82)</f>
      </c>
      <c r="I84" s="65">
        <f>IF(ISBLANK('📦 商品出厂底价库 (Products)'!A82), "", '📦 商品出厂底价库 (Products)'!J82)</f>
      </c>
    </row>
    <row r="85" ht="26" customHeight="1" spans="1:9" x14ac:dyDescent="0.25">
      <c r="A85" s="69">
        <f>IF(ISBLANK('📦 商品出厂底价库 (Products)'!A83), "", 82)</f>
      </c>
      <c r="B85" s="69">
        <f>IF(ISBLANK('📦 商品出厂底价库 (Products)'!A83), "", '📦 商品出厂底价库 (Products)'!A83)</f>
      </c>
      <c r="C85" s="70">
        <f>IF(ISBLANK('📦 商品出厂底价库 (Products)'!A83), "", '📦 商品出厂底价库 (Products)'!C83)</f>
      </c>
      <c r="D85" s="71">
        <f>IF(ISBLANK('📦 商品出厂底价库 (Products)'!A83), "", '📦 商品出厂底价库 (Products)'!E83)</f>
      </c>
      <c r="E85" s="72">
        <f>IF(ISBLANK('📦 商品出厂底价库 (Products)'!A83), "", '📦 商品出厂底价库 (Products)'!N83)</f>
      </c>
      <c r="F85" s="71">
        <f>IF(ISBLANK('📦 商品出厂底价库 (Products)'!A83), "", '📦 商品出厂底价库 (Products)'!F83)</f>
      </c>
      <c r="G85" s="71">
        <f>IF(ISBLANK('📦 商品出厂底价库 (Products)'!A83), "", '📦 商品出厂底价库 (Products)'!O83)</f>
      </c>
      <c r="H85" s="71">
        <f>IF(ISBLANK('📦 商品出厂底价库 (Products)'!A83), "", '📦 商品出厂底价库 (Products)'!P83)</f>
      </c>
      <c r="I85" s="69">
        <f>IF(ISBLANK('📦 商品出厂底价库 (Products)'!A83), "", '📦 商品出厂底价库 (Products)'!J83)</f>
      </c>
    </row>
    <row r="86" ht="26" customHeight="1" spans="1:9" x14ac:dyDescent="0.25">
      <c r="A86" s="65">
        <f>IF(ISBLANK('📦 商品出厂底价库 (Products)'!A84), "", 83)</f>
      </c>
      <c r="B86" s="65">
        <f>IF(ISBLANK('📦 商品出厂底价库 (Products)'!A84), "", '📦 商品出厂底价库 (Products)'!A84)</f>
      </c>
      <c r="C86" s="66">
        <f>IF(ISBLANK('📦 商品出厂底价库 (Products)'!A84), "", '📦 商品出厂底价库 (Products)'!C84)</f>
      </c>
      <c r="D86" s="67">
        <f>IF(ISBLANK('📦 商品出厂底价库 (Products)'!A84), "", '📦 商品出厂底价库 (Products)'!E84)</f>
      </c>
      <c r="E86" s="68">
        <f>IF(ISBLANK('📦 商品出厂底价库 (Products)'!A84), "", '📦 商品出厂底价库 (Products)'!N84)</f>
      </c>
      <c r="F86" s="67">
        <f>IF(ISBLANK('📦 商品出厂底价库 (Products)'!A84), "", '📦 商品出厂底价库 (Products)'!F84)</f>
      </c>
      <c r="G86" s="67">
        <f>IF(ISBLANK('📦 商品出厂底价库 (Products)'!A84), "", '📦 商品出厂底价库 (Products)'!O84)</f>
      </c>
      <c r="H86" s="67">
        <f>IF(ISBLANK('📦 商品出厂底价库 (Products)'!A84), "", '📦 商品出厂底价库 (Products)'!P84)</f>
      </c>
      <c r="I86" s="65">
        <f>IF(ISBLANK('📦 商品出厂底价库 (Products)'!A84), "", '📦 商品出厂底价库 (Products)'!J84)</f>
      </c>
    </row>
    <row r="87" ht="26" customHeight="1" spans="1:9" x14ac:dyDescent="0.25">
      <c r="A87" s="69">
        <f>IF(ISBLANK('📦 商品出厂底价库 (Products)'!A85), "", 84)</f>
      </c>
      <c r="B87" s="69">
        <f>IF(ISBLANK('📦 商品出厂底价库 (Products)'!A85), "", '📦 商品出厂底价库 (Products)'!A85)</f>
      </c>
      <c r="C87" s="70">
        <f>IF(ISBLANK('📦 商品出厂底价库 (Products)'!A85), "", '📦 商品出厂底价库 (Products)'!C85)</f>
      </c>
      <c r="D87" s="71">
        <f>IF(ISBLANK('📦 商品出厂底价库 (Products)'!A85), "", '📦 商品出厂底价库 (Products)'!E85)</f>
      </c>
      <c r="E87" s="72">
        <f>IF(ISBLANK('📦 商品出厂底价库 (Products)'!A85), "", '📦 商品出厂底价库 (Products)'!N85)</f>
      </c>
      <c r="F87" s="71">
        <f>IF(ISBLANK('📦 商品出厂底价库 (Products)'!A85), "", '📦 商品出厂底价库 (Products)'!F85)</f>
      </c>
      <c r="G87" s="71">
        <f>IF(ISBLANK('📦 商品出厂底价库 (Products)'!A85), "", '📦 商品出厂底价库 (Products)'!O85)</f>
      </c>
      <c r="H87" s="71">
        <f>IF(ISBLANK('📦 商品出厂底价库 (Products)'!A85), "", '📦 商品出厂底价库 (Products)'!P85)</f>
      </c>
      <c r="I87" s="69">
        <f>IF(ISBLANK('📦 商品出厂底价库 (Products)'!A85), "", '📦 商品出厂底价库 (Products)'!J85)</f>
      </c>
    </row>
    <row r="88" ht="26" customHeight="1" spans="1:9" x14ac:dyDescent="0.25">
      <c r="A88" s="65">
        <f>IF(ISBLANK('📦 商品出厂底价库 (Products)'!A86), "", 85)</f>
      </c>
      <c r="B88" s="65">
        <f>IF(ISBLANK('📦 商品出厂底价库 (Products)'!A86), "", '📦 商品出厂底价库 (Products)'!A86)</f>
      </c>
      <c r="C88" s="66">
        <f>IF(ISBLANK('📦 商品出厂底价库 (Products)'!A86), "", '📦 商品出厂底价库 (Products)'!C86)</f>
      </c>
      <c r="D88" s="67">
        <f>IF(ISBLANK('📦 商品出厂底价库 (Products)'!A86), "", '📦 商品出厂底价库 (Products)'!E86)</f>
      </c>
      <c r="E88" s="68">
        <f>IF(ISBLANK('📦 商品出厂底价库 (Products)'!A86), "", '📦 商品出厂底价库 (Products)'!N86)</f>
      </c>
      <c r="F88" s="67">
        <f>IF(ISBLANK('📦 商品出厂底价库 (Products)'!A86), "", '📦 商品出厂底价库 (Products)'!F86)</f>
      </c>
      <c r="G88" s="67">
        <f>IF(ISBLANK('📦 商品出厂底价库 (Products)'!A86), "", '📦 商品出厂底价库 (Products)'!O86)</f>
      </c>
      <c r="H88" s="67">
        <f>IF(ISBLANK('📦 商品出厂底价库 (Products)'!A86), "", '📦 商品出厂底价库 (Products)'!P86)</f>
      </c>
      <c r="I88" s="65">
        <f>IF(ISBLANK('📦 商品出厂底价库 (Products)'!A86), "", '📦 商品出厂底价库 (Products)'!J86)</f>
      </c>
    </row>
    <row r="89" ht="26" customHeight="1" spans="1:9" x14ac:dyDescent="0.25">
      <c r="A89" s="69">
        <f>IF(ISBLANK('📦 商品出厂底价库 (Products)'!A87), "", 86)</f>
      </c>
      <c r="B89" s="69">
        <f>IF(ISBLANK('📦 商品出厂底价库 (Products)'!A87), "", '📦 商品出厂底价库 (Products)'!A87)</f>
      </c>
      <c r="C89" s="70">
        <f>IF(ISBLANK('📦 商品出厂底价库 (Products)'!A87), "", '📦 商品出厂底价库 (Products)'!C87)</f>
      </c>
      <c r="D89" s="71">
        <f>IF(ISBLANK('📦 商品出厂底价库 (Products)'!A87), "", '📦 商品出厂底价库 (Products)'!E87)</f>
      </c>
      <c r="E89" s="72">
        <f>IF(ISBLANK('📦 商品出厂底价库 (Products)'!A87), "", '📦 商品出厂底价库 (Products)'!N87)</f>
      </c>
      <c r="F89" s="71">
        <f>IF(ISBLANK('📦 商品出厂底价库 (Products)'!A87), "", '📦 商品出厂底价库 (Products)'!F87)</f>
      </c>
      <c r="G89" s="71">
        <f>IF(ISBLANK('📦 商品出厂底价库 (Products)'!A87), "", '📦 商品出厂底价库 (Products)'!O87)</f>
      </c>
      <c r="H89" s="71">
        <f>IF(ISBLANK('📦 商品出厂底价库 (Products)'!A87), "", '📦 商品出厂底价库 (Products)'!P87)</f>
      </c>
      <c r="I89" s="69">
        <f>IF(ISBLANK('📦 商品出厂底价库 (Products)'!A87), "", '📦 商品出厂底价库 (Products)'!J87)</f>
      </c>
    </row>
    <row r="90" ht="26" customHeight="1" spans="1:9" x14ac:dyDescent="0.25">
      <c r="A90" s="65">
        <f>IF(ISBLANK('📦 商品出厂底价库 (Products)'!A88), "", 87)</f>
      </c>
      <c r="B90" s="65">
        <f>IF(ISBLANK('📦 商品出厂底价库 (Products)'!A88), "", '📦 商品出厂底价库 (Products)'!A88)</f>
      </c>
      <c r="C90" s="66">
        <f>IF(ISBLANK('📦 商品出厂底价库 (Products)'!A88), "", '📦 商品出厂底价库 (Products)'!C88)</f>
      </c>
      <c r="D90" s="67">
        <f>IF(ISBLANK('📦 商品出厂底价库 (Products)'!A88), "", '📦 商品出厂底价库 (Products)'!E88)</f>
      </c>
      <c r="E90" s="68">
        <f>IF(ISBLANK('📦 商品出厂底价库 (Products)'!A88), "", '📦 商品出厂底价库 (Products)'!N88)</f>
      </c>
      <c r="F90" s="67">
        <f>IF(ISBLANK('📦 商品出厂底价库 (Products)'!A88), "", '📦 商品出厂底价库 (Products)'!F88)</f>
      </c>
      <c r="G90" s="67">
        <f>IF(ISBLANK('📦 商品出厂底价库 (Products)'!A88), "", '📦 商品出厂底价库 (Products)'!O88)</f>
      </c>
      <c r="H90" s="67">
        <f>IF(ISBLANK('📦 商品出厂底价库 (Products)'!A88), "", '📦 商品出厂底价库 (Products)'!P88)</f>
      </c>
      <c r="I90" s="65">
        <f>IF(ISBLANK('📦 商品出厂底价库 (Products)'!A88), "", '📦 商品出厂底价库 (Products)'!J88)</f>
      </c>
    </row>
    <row r="91" ht="26" customHeight="1" spans="1:9" x14ac:dyDescent="0.25">
      <c r="A91" s="69">
        <f>IF(ISBLANK('📦 商品出厂底价库 (Products)'!A89), "", 88)</f>
      </c>
      <c r="B91" s="69">
        <f>IF(ISBLANK('📦 商品出厂底价库 (Products)'!A89), "", '📦 商品出厂底价库 (Products)'!A89)</f>
      </c>
      <c r="C91" s="70">
        <f>IF(ISBLANK('📦 商品出厂底价库 (Products)'!A89), "", '📦 商品出厂底价库 (Products)'!C89)</f>
      </c>
      <c r="D91" s="71">
        <f>IF(ISBLANK('📦 商品出厂底价库 (Products)'!A89), "", '📦 商品出厂底价库 (Products)'!E89)</f>
      </c>
      <c r="E91" s="72">
        <f>IF(ISBLANK('📦 商品出厂底价库 (Products)'!A89), "", '📦 商品出厂底价库 (Products)'!N89)</f>
      </c>
      <c r="F91" s="71">
        <f>IF(ISBLANK('📦 商品出厂底价库 (Products)'!A89), "", '📦 商品出厂底价库 (Products)'!F89)</f>
      </c>
      <c r="G91" s="71">
        <f>IF(ISBLANK('📦 商品出厂底价库 (Products)'!A89), "", '📦 商品出厂底价库 (Products)'!O89)</f>
      </c>
      <c r="H91" s="71">
        <f>IF(ISBLANK('📦 商品出厂底价库 (Products)'!A89), "", '📦 商品出厂底价库 (Products)'!P89)</f>
      </c>
      <c r="I91" s="69">
        <f>IF(ISBLANK('📦 商品出厂底价库 (Products)'!A89), "", '📦 商品出厂底价库 (Products)'!J89)</f>
      </c>
    </row>
    <row r="92" ht="26" customHeight="1" spans="1:9" x14ac:dyDescent="0.25">
      <c r="A92" s="65">
        <f>IF(ISBLANK('📦 商品出厂底价库 (Products)'!A90), "", 89)</f>
      </c>
      <c r="B92" s="65">
        <f>IF(ISBLANK('📦 商品出厂底价库 (Products)'!A90), "", '📦 商品出厂底价库 (Products)'!A90)</f>
      </c>
      <c r="C92" s="66">
        <f>IF(ISBLANK('📦 商品出厂底价库 (Products)'!A90), "", '📦 商品出厂底价库 (Products)'!C90)</f>
      </c>
      <c r="D92" s="67">
        <f>IF(ISBLANK('📦 商品出厂底价库 (Products)'!A90), "", '📦 商品出厂底价库 (Products)'!E90)</f>
      </c>
      <c r="E92" s="68">
        <f>IF(ISBLANK('📦 商品出厂底价库 (Products)'!A90), "", '📦 商品出厂底价库 (Products)'!N90)</f>
      </c>
      <c r="F92" s="67">
        <f>IF(ISBLANK('📦 商品出厂底价库 (Products)'!A90), "", '📦 商品出厂底价库 (Products)'!F90)</f>
      </c>
      <c r="G92" s="67">
        <f>IF(ISBLANK('📦 商品出厂底价库 (Products)'!A90), "", '📦 商品出厂底价库 (Products)'!O90)</f>
      </c>
      <c r="H92" s="67">
        <f>IF(ISBLANK('📦 商品出厂底价库 (Products)'!A90), "", '📦 商品出厂底价库 (Products)'!P90)</f>
      </c>
      <c r="I92" s="65">
        <f>IF(ISBLANK('📦 商品出厂底价库 (Products)'!A90), "", '📦 商品出厂底价库 (Products)'!J90)</f>
      </c>
    </row>
    <row r="93" ht="26" customHeight="1" spans="1:9" x14ac:dyDescent="0.25">
      <c r="A93" s="69">
        <f>IF(ISBLANK('📦 商品出厂底价库 (Products)'!A91), "", 90)</f>
      </c>
      <c r="B93" s="69">
        <f>IF(ISBLANK('📦 商品出厂底价库 (Products)'!A91), "", '📦 商品出厂底价库 (Products)'!A91)</f>
      </c>
      <c r="C93" s="70">
        <f>IF(ISBLANK('📦 商品出厂底价库 (Products)'!A91), "", '📦 商品出厂底价库 (Products)'!C91)</f>
      </c>
      <c r="D93" s="71">
        <f>IF(ISBLANK('📦 商品出厂底价库 (Products)'!A91), "", '📦 商品出厂底价库 (Products)'!E91)</f>
      </c>
      <c r="E93" s="72">
        <f>IF(ISBLANK('📦 商品出厂底价库 (Products)'!A91), "", '📦 商品出厂底价库 (Products)'!N91)</f>
      </c>
      <c r="F93" s="71">
        <f>IF(ISBLANK('📦 商品出厂底价库 (Products)'!A91), "", '📦 商品出厂底价库 (Products)'!F91)</f>
      </c>
      <c r="G93" s="71">
        <f>IF(ISBLANK('📦 商品出厂底价库 (Products)'!A91), "", '📦 商品出厂底价库 (Products)'!O91)</f>
      </c>
      <c r="H93" s="71">
        <f>IF(ISBLANK('📦 商品出厂底价库 (Products)'!A91), "", '📦 商品出厂底价库 (Products)'!P91)</f>
      </c>
      <c r="I93" s="69">
        <f>IF(ISBLANK('📦 商品出厂底价库 (Products)'!A91), "", '📦 商品出厂底价库 (Products)'!J91)</f>
      </c>
    </row>
    <row r="94" ht="26" customHeight="1" spans="1:9" x14ac:dyDescent="0.25">
      <c r="A94" s="65">
        <f>IF(ISBLANK('📦 商品出厂底价库 (Products)'!A92), "", 91)</f>
      </c>
      <c r="B94" s="65">
        <f>IF(ISBLANK('📦 商品出厂底价库 (Products)'!A92), "", '📦 商品出厂底价库 (Products)'!A92)</f>
      </c>
      <c r="C94" s="66">
        <f>IF(ISBLANK('📦 商品出厂底价库 (Products)'!A92), "", '📦 商品出厂底价库 (Products)'!C92)</f>
      </c>
      <c r="D94" s="67">
        <f>IF(ISBLANK('📦 商品出厂底价库 (Products)'!A92), "", '📦 商品出厂底价库 (Products)'!E92)</f>
      </c>
      <c r="E94" s="68">
        <f>IF(ISBLANK('📦 商品出厂底价库 (Products)'!A92), "", '📦 商品出厂底价库 (Products)'!N92)</f>
      </c>
      <c r="F94" s="67">
        <f>IF(ISBLANK('📦 商品出厂底价库 (Products)'!A92), "", '📦 商品出厂底价库 (Products)'!F92)</f>
      </c>
      <c r="G94" s="67">
        <f>IF(ISBLANK('📦 商品出厂底价库 (Products)'!A92), "", '📦 商品出厂底价库 (Products)'!O92)</f>
      </c>
      <c r="H94" s="67">
        <f>IF(ISBLANK('📦 商品出厂底价库 (Products)'!A92), "", '📦 商品出厂底价库 (Products)'!P92)</f>
      </c>
      <c r="I94" s="65">
        <f>IF(ISBLANK('📦 商品出厂底价库 (Products)'!A92), "", '📦 商品出厂底价库 (Products)'!J92)</f>
      </c>
    </row>
    <row r="95" ht="26" customHeight="1" spans="1:9" x14ac:dyDescent="0.25">
      <c r="A95" s="69">
        <f>IF(ISBLANK('📦 商品出厂底价库 (Products)'!A93), "", 92)</f>
      </c>
      <c r="B95" s="69">
        <f>IF(ISBLANK('📦 商品出厂底价库 (Products)'!A93), "", '📦 商品出厂底价库 (Products)'!A93)</f>
      </c>
      <c r="C95" s="70">
        <f>IF(ISBLANK('📦 商品出厂底价库 (Products)'!A93), "", '📦 商品出厂底价库 (Products)'!C93)</f>
      </c>
      <c r="D95" s="71">
        <f>IF(ISBLANK('📦 商品出厂底价库 (Products)'!A93), "", '📦 商品出厂底价库 (Products)'!E93)</f>
      </c>
      <c r="E95" s="72">
        <f>IF(ISBLANK('📦 商品出厂底价库 (Products)'!A93), "", '📦 商品出厂底价库 (Products)'!N93)</f>
      </c>
      <c r="F95" s="71">
        <f>IF(ISBLANK('📦 商品出厂底价库 (Products)'!A93), "", '📦 商品出厂底价库 (Products)'!F93)</f>
      </c>
      <c r="G95" s="71">
        <f>IF(ISBLANK('📦 商品出厂底价库 (Products)'!A93), "", '📦 商品出厂底价库 (Products)'!O93)</f>
      </c>
      <c r="H95" s="71">
        <f>IF(ISBLANK('📦 商品出厂底价库 (Products)'!A93), "", '📦 商品出厂底价库 (Products)'!P93)</f>
      </c>
      <c r="I95" s="69">
        <f>IF(ISBLANK('📦 商品出厂底价库 (Products)'!A93), "", '📦 商品出厂底价库 (Products)'!J93)</f>
      </c>
    </row>
    <row r="96" ht="26" customHeight="1" spans="1:9" x14ac:dyDescent="0.25">
      <c r="A96" s="65">
        <f>IF(ISBLANK('📦 商品出厂底价库 (Products)'!A94), "", 93)</f>
      </c>
      <c r="B96" s="65">
        <f>IF(ISBLANK('📦 商品出厂底价库 (Products)'!A94), "", '📦 商品出厂底价库 (Products)'!A94)</f>
      </c>
      <c r="C96" s="66">
        <f>IF(ISBLANK('📦 商品出厂底价库 (Products)'!A94), "", '📦 商品出厂底价库 (Products)'!C94)</f>
      </c>
      <c r="D96" s="67">
        <f>IF(ISBLANK('📦 商品出厂底价库 (Products)'!A94), "", '📦 商品出厂底价库 (Products)'!E94)</f>
      </c>
      <c r="E96" s="68">
        <f>IF(ISBLANK('📦 商品出厂底价库 (Products)'!A94), "", '📦 商品出厂底价库 (Products)'!N94)</f>
      </c>
      <c r="F96" s="67">
        <f>IF(ISBLANK('📦 商品出厂底价库 (Products)'!A94), "", '📦 商品出厂底价库 (Products)'!F94)</f>
      </c>
      <c r="G96" s="67">
        <f>IF(ISBLANK('📦 商品出厂底价库 (Products)'!A94), "", '📦 商品出厂底价库 (Products)'!O94)</f>
      </c>
      <c r="H96" s="67">
        <f>IF(ISBLANK('📦 商品出厂底价库 (Products)'!A94), "", '📦 商品出厂底价库 (Products)'!P94)</f>
      </c>
      <c r="I96" s="65">
        <f>IF(ISBLANK('📦 商品出厂底价库 (Products)'!A94), "", '📦 商品出厂底价库 (Products)'!J94)</f>
      </c>
    </row>
    <row r="97" ht="26" customHeight="1" spans="1:9" x14ac:dyDescent="0.25">
      <c r="A97" s="69">
        <f>IF(ISBLANK('📦 商品出厂底价库 (Products)'!A95), "", 94)</f>
      </c>
      <c r="B97" s="69">
        <f>IF(ISBLANK('📦 商品出厂底价库 (Products)'!A95), "", '📦 商品出厂底价库 (Products)'!A95)</f>
      </c>
      <c r="C97" s="70">
        <f>IF(ISBLANK('📦 商品出厂底价库 (Products)'!A95), "", '📦 商品出厂底价库 (Products)'!C95)</f>
      </c>
      <c r="D97" s="71">
        <f>IF(ISBLANK('📦 商品出厂底价库 (Products)'!A95), "", '📦 商品出厂底价库 (Products)'!E95)</f>
      </c>
      <c r="E97" s="72">
        <f>IF(ISBLANK('📦 商品出厂底价库 (Products)'!A95), "", '📦 商品出厂底价库 (Products)'!N95)</f>
      </c>
      <c r="F97" s="71">
        <f>IF(ISBLANK('📦 商品出厂底价库 (Products)'!A95), "", '📦 商品出厂底价库 (Products)'!F95)</f>
      </c>
      <c r="G97" s="71">
        <f>IF(ISBLANK('📦 商品出厂底价库 (Products)'!A95), "", '📦 商品出厂底价库 (Products)'!O95)</f>
      </c>
      <c r="H97" s="71">
        <f>IF(ISBLANK('📦 商品出厂底价库 (Products)'!A95), "", '📦 商品出厂底价库 (Products)'!P95)</f>
      </c>
      <c r="I97" s="69">
        <f>IF(ISBLANK('📦 商品出厂底价库 (Products)'!A95), "", '📦 商品出厂底价库 (Products)'!J95)</f>
      </c>
    </row>
    <row r="98" ht="26" customHeight="1" spans="1:9" x14ac:dyDescent="0.25">
      <c r="A98" s="65">
        <f>IF(ISBLANK('📦 商品出厂底价库 (Products)'!A96), "", 95)</f>
      </c>
      <c r="B98" s="65">
        <f>IF(ISBLANK('📦 商品出厂底价库 (Products)'!A96), "", '📦 商品出厂底价库 (Products)'!A96)</f>
      </c>
      <c r="C98" s="66">
        <f>IF(ISBLANK('📦 商品出厂底价库 (Products)'!A96), "", '📦 商品出厂底价库 (Products)'!C96)</f>
      </c>
      <c r="D98" s="67">
        <f>IF(ISBLANK('📦 商品出厂底价库 (Products)'!A96), "", '📦 商品出厂底价库 (Products)'!E96)</f>
      </c>
      <c r="E98" s="68">
        <f>IF(ISBLANK('📦 商品出厂底价库 (Products)'!A96), "", '📦 商品出厂底价库 (Products)'!N96)</f>
      </c>
      <c r="F98" s="67">
        <f>IF(ISBLANK('📦 商品出厂底价库 (Products)'!A96), "", '📦 商品出厂底价库 (Products)'!F96)</f>
      </c>
      <c r="G98" s="67">
        <f>IF(ISBLANK('📦 商品出厂底价库 (Products)'!A96), "", '📦 商品出厂底价库 (Products)'!O96)</f>
      </c>
      <c r="H98" s="67">
        <f>IF(ISBLANK('📦 商品出厂底价库 (Products)'!A96), "", '📦 商品出厂底价库 (Products)'!P96)</f>
      </c>
      <c r="I98" s="65">
        <f>IF(ISBLANK('📦 商品出厂底价库 (Products)'!A96), "", '📦 商品出厂底价库 (Products)'!J96)</f>
      </c>
    </row>
    <row r="99" ht="26" customHeight="1" spans="1:9" x14ac:dyDescent="0.25">
      <c r="A99" s="69">
        <f>IF(ISBLANK('📦 商品出厂底价库 (Products)'!A97), "", 96)</f>
      </c>
      <c r="B99" s="69">
        <f>IF(ISBLANK('📦 商品出厂底价库 (Products)'!A97), "", '📦 商品出厂底价库 (Products)'!A97)</f>
      </c>
      <c r="C99" s="70">
        <f>IF(ISBLANK('📦 商品出厂底价库 (Products)'!A97), "", '📦 商品出厂底价库 (Products)'!C97)</f>
      </c>
      <c r="D99" s="71">
        <f>IF(ISBLANK('📦 商品出厂底价库 (Products)'!A97), "", '📦 商品出厂底价库 (Products)'!E97)</f>
      </c>
      <c r="E99" s="72">
        <f>IF(ISBLANK('📦 商品出厂底价库 (Products)'!A97), "", '📦 商品出厂底价库 (Products)'!N97)</f>
      </c>
      <c r="F99" s="71">
        <f>IF(ISBLANK('📦 商品出厂底价库 (Products)'!A97), "", '📦 商品出厂底价库 (Products)'!F97)</f>
      </c>
      <c r="G99" s="71">
        <f>IF(ISBLANK('📦 商品出厂底价库 (Products)'!A97), "", '📦 商品出厂底价库 (Products)'!O97)</f>
      </c>
      <c r="H99" s="71">
        <f>IF(ISBLANK('📦 商品出厂底价库 (Products)'!A97), "", '📦 商品出厂底价库 (Products)'!P97)</f>
      </c>
      <c r="I99" s="69">
        <f>IF(ISBLANK('📦 商品出厂底价库 (Products)'!A97), "", '📦 商品出厂底价库 (Products)'!J97)</f>
      </c>
    </row>
    <row r="100" ht="26" customHeight="1" spans="1:9" x14ac:dyDescent="0.25">
      <c r="A100" s="65">
        <f>IF(ISBLANK('📦 商品出厂底价库 (Products)'!A98), "", 97)</f>
      </c>
      <c r="B100" s="65">
        <f>IF(ISBLANK('📦 商品出厂底价库 (Products)'!A98), "", '📦 商品出厂底价库 (Products)'!A98)</f>
      </c>
      <c r="C100" s="66">
        <f>IF(ISBLANK('📦 商品出厂底价库 (Products)'!A98), "", '📦 商品出厂底价库 (Products)'!C98)</f>
      </c>
      <c r="D100" s="67">
        <f>IF(ISBLANK('📦 商品出厂底价库 (Products)'!A98), "", '📦 商品出厂底价库 (Products)'!E98)</f>
      </c>
      <c r="E100" s="68">
        <f>IF(ISBLANK('📦 商品出厂底价库 (Products)'!A98), "", '📦 商品出厂底价库 (Products)'!N98)</f>
      </c>
      <c r="F100" s="67">
        <f>IF(ISBLANK('📦 商品出厂底价库 (Products)'!A98), "", '📦 商品出厂底价库 (Products)'!F98)</f>
      </c>
      <c r="G100" s="67">
        <f>IF(ISBLANK('📦 商品出厂底价库 (Products)'!A98), "", '📦 商品出厂底价库 (Products)'!O98)</f>
      </c>
      <c r="H100" s="67">
        <f>IF(ISBLANK('📦 商品出厂底价库 (Products)'!A98), "", '📦 商品出厂底价库 (Products)'!P98)</f>
      </c>
      <c r="I100" s="65">
        <f>IF(ISBLANK('📦 商品出厂底价库 (Products)'!A98), "", '📦 商品出厂底价库 (Products)'!J98)</f>
      </c>
    </row>
    <row r="101" ht="26" customHeight="1" spans="1:9" x14ac:dyDescent="0.25">
      <c r="A101" s="69">
        <f>IF(ISBLANK('📦 商品出厂底价库 (Products)'!A99), "", 98)</f>
      </c>
      <c r="B101" s="69">
        <f>IF(ISBLANK('📦 商品出厂底价库 (Products)'!A99), "", '📦 商品出厂底价库 (Products)'!A99)</f>
      </c>
      <c r="C101" s="70">
        <f>IF(ISBLANK('📦 商品出厂底价库 (Products)'!A99), "", '📦 商品出厂底价库 (Products)'!C99)</f>
      </c>
      <c r="D101" s="71">
        <f>IF(ISBLANK('📦 商品出厂底价库 (Products)'!A99), "", '📦 商品出厂底价库 (Products)'!E99)</f>
      </c>
      <c r="E101" s="72">
        <f>IF(ISBLANK('📦 商品出厂底价库 (Products)'!A99), "", '📦 商品出厂底价库 (Products)'!N99)</f>
      </c>
      <c r="F101" s="71">
        <f>IF(ISBLANK('📦 商品出厂底价库 (Products)'!A99), "", '📦 商品出厂底价库 (Products)'!F99)</f>
      </c>
      <c r="G101" s="71">
        <f>IF(ISBLANK('📦 商品出厂底价库 (Products)'!A99), "", '📦 商品出厂底价库 (Products)'!O99)</f>
      </c>
      <c r="H101" s="71">
        <f>IF(ISBLANK('📦 商品出厂底价库 (Products)'!A99), "", '📦 商品出厂底价库 (Products)'!P99)</f>
      </c>
      <c r="I101" s="69">
        <f>IF(ISBLANK('📦 商品出厂底价库 (Products)'!A99), "", '📦 商品出厂底价库 (Products)'!J99)</f>
      </c>
    </row>
    <row r="102" ht="26" customHeight="1" spans="1:9" x14ac:dyDescent="0.25">
      <c r="A102" s="65">
        <f>IF(ISBLANK('📦 商品出厂底价库 (Products)'!A100), "", 99)</f>
      </c>
      <c r="B102" s="65">
        <f>IF(ISBLANK('📦 商品出厂底价库 (Products)'!A100), "", '📦 商品出厂底价库 (Products)'!A100)</f>
      </c>
      <c r="C102" s="66">
        <f>IF(ISBLANK('📦 商品出厂底价库 (Products)'!A100), "", '📦 商品出厂底价库 (Products)'!C100)</f>
      </c>
      <c r="D102" s="67">
        <f>IF(ISBLANK('📦 商品出厂底价库 (Products)'!A100), "", '📦 商品出厂底价库 (Products)'!E100)</f>
      </c>
      <c r="E102" s="68">
        <f>IF(ISBLANK('📦 商品出厂底价库 (Products)'!A100), "", '📦 商品出厂底价库 (Products)'!N100)</f>
      </c>
      <c r="F102" s="67">
        <f>IF(ISBLANK('📦 商品出厂底价库 (Products)'!A100), "", '📦 商品出厂底价库 (Products)'!F100)</f>
      </c>
      <c r="G102" s="67">
        <f>IF(ISBLANK('📦 商品出厂底价库 (Products)'!A100), "", '📦 商品出厂底价库 (Products)'!O100)</f>
      </c>
      <c r="H102" s="67">
        <f>IF(ISBLANK('📦 商品出厂底价库 (Products)'!A100), "", '📦 商品出厂底价库 (Products)'!P100)</f>
      </c>
      <c r="I102" s="65">
        <f>IF(ISBLANK('📦 商品出厂底价库 (Products)'!A100), "", '📦 商品出厂底价库 (Products)'!J100)</f>
      </c>
    </row>
    <row r="103" ht="26" customHeight="1" spans="1:9" x14ac:dyDescent="0.25">
      <c r="A103" s="69">
        <f>IF(ISBLANK('📦 商品出厂底价库 (Products)'!A101), "", 100)</f>
      </c>
      <c r="B103" s="69">
        <f>IF(ISBLANK('📦 商品出厂底价库 (Products)'!A101), "", '📦 商品出厂底价库 (Products)'!A101)</f>
      </c>
      <c r="C103" s="70">
        <f>IF(ISBLANK('📦 商品出厂底价库 (Products)'!A101), "", '📦 商品出厂底价库 (Products)'!C101)</f>
      </c>
      <c r="D103" s="71">
        <f>IF(ISBLANK('📦 商品出厂底价库 (Products)'!A101), "", '📦 商品出厂底价库 (Products)'!E101)</f>
      </c>
      <c r="E103" s="72">
        <f>IF(ISBLANK('📦 商品出厂底价库 (Products)'!A101), "", '📦 商品出厂底价库 (Products)'!N101)</f>
      </c>
      <c r="F103" s="71">
        <f>IF(ISBLANK('📦 商品出厂底价库 (Products)'!A101), "", '📦 商品出厂底价库 (Products)'!F101)</f>
      </c>
      <c r="G103" s="71">
        <f>IF(ISBLANK('📦 商品出厂底价库 (Products)'!A101), "", '📦 商品出厂底价库 (Products)'!O101)</f>
      </c>
      <c r="H103" s="71">
        <f>IF(ISBLANK('📦 商品出厂底价库 (Products)'!A101), "", '📦 商品出厂底价库 (Products)'!P101)</f>
      </c>
      <c r="I103" s="69">
        <f>IF(ISBLANK('📦 商品出厂底价库 (Products)'!A101), "", '📦 商品出厂底价库 (Products)'!J101)</f>
      </c>
    </row>
  </sheetData>
  <mergeCells count="4">
    <mergeCell ref="A1:B1"/>
    <mergeCell ref="C1:I1"/>
    <mergeCell ref="A2:B2"/>
    <mergeCell ref="C2:I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📌 使用指南与提效神器</vt:lpstr>
      <vt:lpstr>⚙️ 全局核算参数 (Config)</vt:lpstr>
      <vt:lpstr>📦 商品出厂底价库 (Products)</vt:lpstr>
      <vt:lpstr>📄 对外纯净批量报价单 (脱敏单)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IT佬Kelvin</dc:creator>
  <dc:title/>
  <dc:subject/>
  <dc:description/>
  <cp:keywords/>
  <cp:category/>
  <cp:lastModifiedBy>IT佬Kelvin</cp:lastModifiedBy>
  <dcterms:created xsi:type="dcterms:W3CDTF">2026-10-13T02:16:44Z</dcterms:created>
  <dcterms:modified xsi:type="dcterms:W3CDTF">2026-10-13T02:16:44Z</dcterms:modified>
</cp:coreProperties>
</file>