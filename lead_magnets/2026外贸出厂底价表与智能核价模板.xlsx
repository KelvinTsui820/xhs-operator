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📌 使用指南与提效神器" state="visible" r:id="rId4"/>
    <sheet sheetId="2" name="⚙️ 全局核算参数 (Config)" state="visible" r:id="rId5"/>
    <sheet sheetId="3" name="📦 商品出厂底价库 (Products)" state="visible" r:id="rId6"/>
    <sheet sheetId="4" name="📄 对外纯净批量报价单 (脱敏单)" state="visible" r:id="rId7"/>
  </sheets>
  <calcPr calcId="171027"/>
</workbook>
</file>

<file path=xl/sharedStrings.xml><?xml version="1.0" encoding="utf-8"?>
<sst xmlns="http://schemas.openxmlformats.org/spreadsheetml/2006/main" count="170" uniqueCount="160">
  <si>
    <t>【2026外贸出厂底价表与智能核价模板】使用指南</t>
  </si>
  <si>
    <t>1. 为什么做这套表？</t>
  </si>
  <si>
    <t>拒绝单品手工反复按计算器！本表专为工贸一体外贸工厂、外贸公司与独立业务员打造。左侧批量录入底价与箱规，右侧全自动联动秒出全量多币种 FOB 美金单价、集装箱装柜量与利润红线防御。</t>
  </si>
  <si>
    <t>2. 【⚙️ 全局核算参数】怎么用？</t>
  </si>
  <si>
    <t>在第 2 张工作表顶部可【一键下拉切换主结算币种】（支持 USD / EUR / GBP / AUD / CAD），全库商品底价与对外报价单秒级自动自适应切换！同时可设定内部锁定汇率、保底毛利（如 15%）、利润防穿底红线（如 8%）与海运进仓港杂平摊（如 0.20 元/件）。在此微调后，全库商品自动秒级联动更新。</t>
  </si>
  <si>
    <t>3. 【📦 商品出厂底价库】怎么用？</t>
  </si>
  <si>
    <t>在第 3 张工作表批量录入产品 SKU、出厂底价与包装尺寸。黄色公式区会自动联动倒算出精准 FOB 外币报价、自动算出 20GP/40HQ 可装柜件数；若某品毛利低于红线会自动闪烁警报。</t>
  </si>
  <si>
    <t>4. 对外发给买家安全吗？</t>
  </si>
  <si>
    <t>100% 安全！第 4 张工作表【📄 对外纯净批量报价单】专为海外买家设计，工厂出厂底价、内部成本与真实毛利率全部自动脱敏隐藏，可直接打印或导出 PDF 发给海外买家。</t>
  </si>
  <si>
    <t>5. 🚀 无缝直通线上版 (SaaS引擎)</t>
  </si>
  <si>
    <t>本表格式与 KelvinFlow 智能出单引擎 (https://quote.kelvinflow.com) 完全一致！平时直接当离线底价库用；一旦买家发来几十个型号的长篇英文邮件或 PDF 询盘，直接把本表上传到系统，转发邮件，AI 10 秒自动审单对齐底价生成专业英文报价单。小红书官方群友免审开通 7 天深度体验。</t>
  </si>
  <si>
    <t>6. 开源与版权说明</t>
  </si>
  <si>
    <t>由大湾区全栈独立开发者 Kelvin (IT佬Kelvin) 荣誉出品，永久免费，纯净无广告，禁止二次倒卖。欢迎在小红书官方粉丝群内交流探讨！</t>
  </si>
  <si>
    <t>🏢 我司外贸出厂核算控制台 · 全局业务参数配置 (Global Configuration)</t>
  </si>
  <si>
    <t>💡【核算中枢指引】在此设定贵司（或个人）内部锁定汇率、保底毛利率与业务参数，全库商品将自动秒级联动倒算。日常核价只需在此微调参数，无需逐个单品修改。</t>
  </si>
  <si>
    <t>💵 模块一：结算币种与全局主报价切换 (Currency &amp; Master Active Currency)</t>
  </si>
  <si>
    <t>🎯 当前全局核算与报价主币种 (Active Currency)</t>
  </si>
  <si>
    <t>USD</t>
  </si>
  <si>
    <t>👈 下拉切换主币种：全库底价与对外报价单秒级自适应！</t>
  </si>
  <si>
    <t>外币币种 (Target Currency)</t>
  </si>
  <si>
    <t>内部锁定汇率 (Rate To RMB)</t>
  </si>
  <si>
    <t>币种符号 (Symbol)</t>
  </si>
  <si>
    <t>汇率波动预警保护基准</t>
  </si>
  <si>
    <t>适用采购区域 (采购商来源)</t>
  </si>
  <si>
    <t>$</t>
  </si>
  <si>
    <t>★ 默认主币种 (波动±3%保护)</t>
  </si>
  <si>
    <t>北美、东南亚、全球主流外贸结算 (默认主币种)</t>
  </si>
  <si>
    <t>EUR</t>
  </si>
  <si>
    <t>€</t>
  </si>
  <si>
    <t>基准锁定汇率 (波动±3%保护)</t>
  </si>
  <si>
    <t>欧盟及欧洲自由贸易区国家采购商</t>
  </si>
  <si>
    <t>GBP</t>
  </si>
  <si>
    <t>£</t>
  </si>
  <si>
    <t>英国及英联邦国家采购商</t>
  </si>
  <si>
    <t>AUD</t>
  </si>
  <si>
    <t>A$</t>
  </si>
  <si>
    <t>澳大利亚、新西兰及大洋洲采购商</t>
  </si>
  <si>
    <t>CAD</t>
  </si>
  <si>
    <t>C$</t>
  </si>
  <si>
    <t>加拿大市场专属采购商</t>
  </si>
  <si>
    <t>📈 模块二：利润红线与防穿底控制 (Profit Margin &amp; Cost Protection)</t>
  </si>
  <si>
    <t>参数控制项 (Control Parameter)</t>
  </si>
  <si>
    <t>设置基准值 (Setting Value)</t>
  </si>
  <si>
    <t>参数格式/单位</t>
  </si>
  <si>
    <t>系统生效机制与风控规则说明</t>
  </si>
  <si>
    <t>💡 实战风控与业务避坑建议</t>
  </si>
  <si>
    <t>全厂默认保底毛利率 (Default Margin)</t>
  </si>
  <si>
    <t>百分比 (0.15)</t>
  </si>
  <si>
    <t>出厂安全底价基础上浮动加价；单品未设时自动继承此参数</t>
  </si>
  <si>
    <t>建议常规大货订单基准，给买家还价预留 3%~5% 安全博弈空间</t>
  </si>
  <si>
    <t>最低保护红线毛利率 (Floor Margin)</t>
  </si>
  <si>
    <t>百分比 (0.08)</t>
  </si>
  <si>
    <t>业务员最低授权底线，低于此红线系统强制拦截并报警打回</t>
  </si>
  <si>
    <t>底线防御警戒线！低于此值系统自动标红警报，防止业务员算亏</t>
  </si>
  <si>
    <t>样品打样费上浮倍率 (Sample Multiplier)</t>
  </si>
  <si>
    <t>倍率 (出厂价*2.5)</t>
  </si>
  <si>
    <t>覆盖小批量散单模具调机成本，后续批量达标全额抵扣货款</t>
  </si>
  <si>
    <t>覆盖小批量散单机台调机损耗，可在合同中约定大货满额全额返还</t>
  </si>
  <si>
    <t>报价单默认有效期 (Price Validity)</t>
  </si>
  <si>
    <t>30 Days</t>
  </si>
  <si>
    <t>天数</t>
  </si>
  <si>
    <t>超出 30 天需重新核实原材料成本与外币汇率波动情况</t>
  </si>
  <si>
    <t>严防海运费与汇率剧烈波动风险，超期需重新核算，避免履约亏损</t>
  </si>
  <si>
    <t>🚢 模块三：默认贸易术语与杂费基准 (Incoterms &amp; Port Charges)</t>
  </si>
  <si>
    <t>贸易术语 (Incoterm)</t>
  </si>
  <si>
    <t>指定交货港口 / 地点</t>
  </si>
  <si>
    <t>单件均摊杂费 (RMB)</t>
  </si>
  <si>
    <t>整柜固定杂费 (RMB)</t>
  </si>
  <si>
    <t>费用包含范围与口岸说明</t>
  </si>
  <si>
    <t>EXW</t>
  </si>
  <si>
    <t>工厂车间自提 (Factory Ex-works)</t>
  </si>
  <si>
    <t>买家自提，仅含标准纸箱包装，无港口杂费与拖车费</t>
  </si>
  <si>
    <t>FOB</t>
  </si>
  <si>
    <t>深圳盐田港 / 蛇口港 (Shenzhen)</t>
  </si>
  <si>
    <t>包含工厂至深圳码头内陆拖车、出口报关、港杂码头费(THC)</t>
  </si>
  <si>
    <t>CIF</t>
  </si>
  <si>
    <t>目的港（根据买家询盘实时测算）</t>
  </si>
  <si>
    <t>实时测算</t>
  </si>
  <si>
    <t>含基础货运险</t>
  </si>
  <si>
    <t>根据货柜实际目的港与实时船期核算海运费与保费</t>
  </si>
  <si>
    <t>💳 模块四：默认付款方式与结算浮动 (Payment Terms)</t>
  </si>
  <si>
    <t>付款方式 (Payment Term)</t>
  </si>
  <si>
    <t>价格浮动比例 (%)</t>
  </si>
  <si>
    <t>支持结算币种</t>
  </si>
  <si>
    <t>资金周转成本与商业规则说明</t>
  </si>
  <si>
    <t>适用客户等级与授信</t>
  </si>
  <si>
    <t>100% T/T Advance (全款预付)</t>
  </si>
  <si>
    <t>USD / EUR / GBP</t>
  </si>
  <si>
    <t>买家全款预付直享 98 折，极大加速工厂现金流周转</t>
  </si>
  <si>
    <t>新老客户通用优惠</t>
  </si>
  <si>
    <t>30% Deposit + 70% Balance (标准前T/T)</t>
  </si>
  <si>
    <t>外贸行业标准条款：30%定金排产，70%见提单副本付款</t>
  </si>
  <si>
    <t>标准成交客户</t>
  </si>
  <si>
    <t>L/C at Sight (即期不可撤销信用证)</t>
  </si>
  <si>
    <t>USD / EUR</t>
  </si>
  <si>
    <t>覆盖银行开证手续费与议付审单合规成本</t>
  </si>
  <si>
    <t>信用优良大客户</t>
  </si>
  <si>
    <t>📦 模块五：集装箱装载容积速查标尺 (Container Volume Guidelines)</t>
  </si>
  <si>
    <t>集装箱型号 (Container Type)</t>
  </si>
  <si>
    <t>安全装载容积 (CBM)</t>
  </si>
  <si>
    <t>理论容积 (CBM)</t>
  </si>
  <si>
    <t>最大限重 (KG)</t>
  </si>
  <si>
    <t>装柜适用选型建议</t>
  </si>
  <si>
    <t>20GP (20尺小柜)</t>
  </si>
  <si>
    <t>适合五金紧固件、金属椅脚等高密度重货或试单</t>
  </si>
  <si>
    <t>40GP (40尺平柜)</t>
  </si>
  <si>
    <t>适合体积适中、重量适中的常规工业品与配件</t>
  </si>
  <si>
    <t>40HQ (40尺高柜)</t>
  </si>
  <si>
    <t>适合办公椅、支架、轻泡货等大体积外贸商品</t>
  </si>
  <si>
    <t>产品型号 / SKU (必填)</t>
  </si>
  <si>
    <t>买家常用别名 (Aliases·选填)</t>
  </si>
  <si>
    <t>产品英文品名与规格描述 (必填)</t>
  </si>
  <si>
    <t>出厂底价 (RMB Cost·必填安全底价)</t>
  </si>
  <si>
    <t>最低起订量 MOQ (PCS·选填)</t>
  </si>
  <si>
    <t>单箱装量 (PCS/CTN·选填)</t>
  </si>
  <si>
    <t>外箱体积 (CBM/CTN·选填)</t>
  </si>
  <si>
    <t>单箱毛重 G.W. (kg/CTN·选填)</t>
  </si>
  <si>
    <t>单品专属保底毛利率 (选填·留空继承15%)</t>
  </si>
  <si>
    <t>专属生产交期 (选填·留空继承25-30天)</t>
  </si>
  <si>
    <t>海关编码 HS Code (选填)</t>
  </si>
  <si>
    <t>⚡ 单件港杂平摊(RMB)</t>
  </si>
  <si>
    <t>⚡ 生效核算毛利率</t>
  </si>
  <si>
    <t>📦 20GP小柜装量(PCS)</t>
  </si>
  <si>
    <t>📦 40HQ高柜装量(PCS)</t>
  </si>
  <si>
    <t>🛡️ 利润安全状态</t>
  </si>
  <si>
    <t>ST-2026-A</t>
  </si>
  <si>
    <t>ACME-991, Heavy Bracket, 991支架, Stand Pro</t>
  </si>
  <si>
    <t>Aluminum Alloy Precision Bracket (铝合金精密五金支架)</t>
  </si>
  <si>
    <t>20-25 Days</t>
  </si>
  <si>
    <t>7616.99.9000</t>
  </si>
  <si>
    <t>ST-2026-B</t>
  </si>
  <si>
    <t>FAST-SCREW, Hex Bolt, 不锈钢紧固件, 8820螺丝</t>
  </si>
  <si>
    <t>Stainless Steel Hex Fastener Screws (不锈钢沉头紧固件螺丝)</t>
  </si>
  <si>
    <t>15-20 Days</t>
  </si>
  <si>
    <t>7318.15.9000</t>
  </si>
  <si>
    <t>ERG-PRO-V2</t>
  </si>
  <si>
    <t>Executive Chair, 9088办公椅, CHAIR-MESH-PRO, Ergo Chair</t>
  </si>
  <si>
    <t>Ergonomic Mesh Office Chair (高档网布人体工学办公椅)</t>
  </si>
  <si>
    <t>30-35 Days</t>
  </si>
  <si>
    <t>9401.30.0000</t>
  </si>
  <si>
    <t>AL-BASE-99</t>
  </si>
  <si>
    <t>5 Star Base, Chair Leg, 铝合金五星脚, Star Base 99</t>
  </si>
  <si>
    <t>Die-casting Aluminum 5-Star Base (高压铸铝合金五星椅脚)</t>
  </si>
  <si>
    <t>25-30 Days</t>
  </si>
  <si>
    <t>9401.90.9000</t>
  </si>
  <si>
    <t>HD-ARM-08</t>
  </si>
  <si>
    <t>3D Armrest, PU Arm, 升降扶手, ARM-08</t>
  </si>
  <si>
    <t>3D Adjustable PU Armrest Set (3D多功能升降PU扶手套装)</t>
  </si>
  <si>
    <t>HD-ARM-09</t>
  </si>
  <si>
    <t>3D Armrest Pro, PU Armrest Plus, 加强升降扶手, ARM-09</t>
  </si>
  <si>
    <t>GLOBAL EXPORT</t>
  </si>
  <si>
    <t>FORMAL COMMERCIAL OFFER (FOB SHENZHEN)</t>
  </si>
  <si>
    <t>Item</t>
  </si>
  <si>
    <t>Model No.</t>
  </si>
  <si>
    <t>Product Description &amp; Detailed Specifications</t>
  </si>
  <si>
    <t>MOQ (PCS)</t>
  </si>
  <si>
    <t>Packing (PCS/CTN)</t>
  </si>
  <si>
    <t>20GP Est. (PCS)</t>
  </si>
  <si>
    <t>40HQ Est. (PCS)</t>
  </si>
  <si>
    <t>Lead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</si>
</sst>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%"/>
    <numFmt numFmtId="165" formatCode="0.0"/>
    <numFmt numFmtId="166" formatCode="¥#,##0.00"/>
    <numFmt numFmtId="167" formatCode="+0.0%;-0.0%;0.0%"/>
    <numFmt numFmtId="168" formatCode="0.0&quot; CBM&quot;"/>
    <numFmt numFmtId="169" formatCode="#,##0&quot; KG&quot;"/>
    <numFmt numFmtId="170" formatCode="0.000"/>
  </numFmts>
  <fonts count="23" x14ac:knownFonts="1">
    <font>
      <color theme="1"/>
      <family val="2"/>
      <scheme val="minor"/>
      <sz val="11"/>
      <name val="Calibri"/>
    </font>
    <font>
      <b/>
      <color rgb="FFFFFFFF"/>
      <sz val="13"/>
      <name val="Microsoft YaHei"/>
    </font>
    <font>
      <b/>
      <color rgb="FF1E3A8A"/>
      <sz val="10"/>
      <name val="Microsoft YaHei"/>
    </font>
    <font>
      <color rgb="FF1E293B"/>
      <sz val="9.5"/>
      <name val="Microsoft YaHei"/>
    </font>
    <font>
      <color rgb="FF475569"/>
      <sz val="9.5"/>
      <name val="Microsoft YaHei"/>
    </font>
    <font>
      <b/>
      <color rgb="FF1E3A8A"/>
      <sz val="11"/>
      <name val="Microsoft YaHei"/>
    </font>
    <font>
      <b/>
      <color rgb="FF1E3A8A"/>
      <sz val="10.5"/>
      <name val="Microsoft YaHei"/>
    </font>
    <font>
      <i/>
      <color rgb="FF475569"/>
      <sz val="9.5"/>
      <name val="Microsoft YaHei"/>
    </font>
    <font>
      <b/>
      <color rgb="FFFFFFFF"/>
      <sz val="10"/>
      <name val="Microsoft YaHei"/>
    </font>
    <font>
      <b/>
      <color rgb="FF1E293B"/>
      <sz val="10"/>
      <name val="Microsoft YaHei"/>
    </font>
    <font>
      <color rgb="FF1E293B"/>
      <sz val="10"/>
      <name val="Microsoft YaHei"/>
    </font>
    <font>
      <b/>
      <color rgb="FFB91C1C"/>
      <sz val="10"/>
      <name val="Microsoft YaHei"/>
    </font>
    <font>
      <color rgb="FFB91C1C"/>
      <sz val="10"/>
      <name val="Microsoft YaHei"/>
    </font>
    <font>
      <b/>
      <color rgb="FFFFFFFF"/>
      <sz val="10.5"/>
      <name val="Microsoft YaHei"/>
    </font>
    <font>
      <b/>
      <color rgb="FF1E293B"/>
      <sz val="9.5"/>
      <name val="Microsoft YaHei"/>
    </font>
    <font>
      <b/>
      <color rgb="FF1E3A8A"/>
      <sz val="9.5"/>
      <name val="Microsoft YaHei"/>
    </font>
    <font>
      <b/>
      <color rgb="FFFFFFFF"/>
      <sz val="12"/>
      <name val="Arial"/>
    </font>
    <font>
      <b/>
      <color rgb="FFFFFFFF"/>
      <sz val="12.5"/>
      <name val="Arial"/>
    </font>
    <font>
      <b/>
      <i/>
      <color rgb="FF1E293B"/>
      <sz val="9"/>
      <name val="Arial"/>
    </font>
    <font>
      <i/>
      <color rgb="FF1E293B"/>
      <sz val="9.5"/>
      <name val="Arial"/>
    </font>
    <font>
      <b/>
      <color rgb="FFFFFFFF"/>
      <sz val="10"/>
      <name val="Arial"/>
    </font>
    <font>
      <color rgb="FF1E293B"/>
      <sz val="9.5"/>
      <name val="Arial"/>
    </font>
    <font>
      <b/>
      <color rgb="FF1E3A8A"/>
      <sz val="10"/>
      <name val="Arial"/>
    </font>
  </fonts>
  <fills count="9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FEF3C7"/>
      </patternFill>
    </fill>
    <fill>
      <patternFill patternType="solid">
        <fgColor rgb="FF2563EB"/>
      </patternFill>
    </fill>
    <fill>
      <patternFill patternType="solid">
        <fgColor rgb="FFD97706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4" fillId="5" borderId="0" xfId="0" applyFont="1" applyFill="1" applyAlignment="1">
      <alignment horizontal="left" vertical="center" indent="1"/>
    </xf>
    <xf numFmtId="0" fontId="5" fillId="3" borderId="0" xfId="0" applyFont="1" applyFill="1" applyAlignment="1">
      <alignment horizontal="left" vertical="center" indent="1"/>
    </xf>
    <xf numFmtId="0" fontId="6" fillId="6" borderId="1" xfId="0" applyFont="1" applyFill="1" applyBorder="1" applyAlignment="1">
      <alignment horizontal="left" vertical="center" indent="1"/>
    </xf>
    <xf numFmtId="0" fontId="5" fillId="4" borderId="1" xfId="0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indent="1"/>
    </xf>
    <xf numFmtId="0" fontId="8" fillId="7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 indent="1"/>
    </xf>
    <xf numFmtId="0" fontId="9" fillId="5" borderId="1" xfId="0" applyFont="1" applyFill="1" applyBorder="1" applyAlignment="1">
      <alignment horizontal="center" vertical="center"/>
    </xf>
    <xf numFmtId="2" fontId="9" fillId="5" borderId="1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left" vertical="center" indent="1"/>
    </xf>
    <xf numFmtId="0" fontId="9" fillId="4" borderId="1" xfId="0" applyFont="1" applyFill="1" applyBorder="1" applyAlignment="1">
      <alignment horizontal="left" vertical="center" indent="1"/>
    </xf>
    <xf numFmtId="164" fontId="9" fillId="4" borderId="1" xfId="0" applyNumberFormat="1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left" vertical="center" indent="1"/>
    </xf>
    <xf numFmtId="164" fontId="11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left" vertical="center" indent="1"/>
    </xf>
    <xf numFmtId="165" fontId="9" fillId="4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left" vertical="center" indent="1"/>
    </xf>
    <xf numFmtId="166" fontId="10" fillId="4" borderId="1" xfId="0" applyNumberFormat="1" applyFont="1" applyFill="1" applyBorder="1" applyAlignment="1">
      <alignment horizontal="center" vertical="center"/>
    </xf>
    <xf numFmtId="166" fontId="10" fillId="5" borderId="1" xfId="0" applyNumberFormat="1" applyFont="1" applyFill="1" applyBorder="1" applyAlignment="1">
      <alignment horizontal="center" vertical="center"/>
    </xf>
    <xf numFmtId="167" fontId="10" fillId="4" borderId="1" xfId="0" applyNumberFormat="1" applyFont="1" applyFill="1" applyBorder="1" applyAlignment="1">
      <alignment horizontal="center" vertical="center"/>
    </xf>
    <xf numFmtId="167" fontId="10" fillId="5" borderId="1" xfId="0" applyNumberFormat="1" applyFont="1" applyFill="1" applyBorder="1" applyAlignment="1">
      <alignment horizontal="center" vertical="center"/>
    </xf>
    <xf numFmtId="168" fontId="10" fillId="4" borderId="1" xfId="0" applyNumberFormat="1" applyFont="1" applyFill="1" applyBorder="1" applyAlignment="1">
      <alignment horizontal="center" vertical="center"/>
    </xf>
    <xf numFmtId="169" fontId="10" fillId="4" borderId="1" xfId="0" applyNumberFormat="1" applyFont="1" applyFill="1" applyBorder="1" applyAlignment="1">
      <alignment horizontal="center" vertical="center"/>
    </xf>
    <xf numFmtId="168" fontId="10" fillId="5" borderId="1" xfId="0" applyNumberFormat="1" applyFont="1" applyFill="1" applyBorder="1" applyAlignment="1">
      <alignment horizontal="center" vertical="center"/>
    </xf>
    <xf numFmtId="169" fontId="10" fillId="5" borderId="1" xfId="0" applyNumberFormat="1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 wrapText="1" indent="1"/>
    </xf>
    <xf numFmtId="166" fontId="14" fillId="4" borderId="1" xfId="0" applyNumberFormat="1" applyFont="1" applyFill="1" applyBorder="1" applyAlignment="1">
      <alignment horizontal="right" vertical="center"/>
    </xf>
    <xf numFmtId="3" fontId="3" fillId="4" borderId="1" xfId="0" applyNumberFormat="1" applyFont="1" applyFill="1" applyBorder="1" applyAlignment="1">
      <alignment horizontal="center" vertical="center"/>
    </xf>
    <xf numFmtId="170" fontId="3" fillId="4" borderId="1" xfId="0" applyNumberFormat="1" applyFont="1" applyFill="1" applyBorder="1" applyAlignment="1">
      <alignment horizontal="center" vertical="center"/>
    </xf>
    <xf numFmtId="165" fontId="3" fillId="4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4" fontId="15" fillId="6" borderId="1" xfId="0" applyNumberFormat="1" applyFont="1" applyFill="1" applyBorder="1" applyAlignment="1">
      <alignment horizontal="center" vertical="center"/>
    </xf>
    <xf numFmtId="3" fontId="3" fillId="6" borderId="1" xfId="0" applyNumberFormat="1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indent="1"/>
    </xf>
    <xf numFmtId="0" fontId="3" fillId="5" borderId="1" xfId="0" applyFont="1" applyFill="1" applyBorder="1" applyAlignment="1">
      <alignment horizontal="left" vertical="center" wrapText="1" indent="1"/>
    </xf>
    <xf numFmtId="166" fontId="14" fillId="5" borderId="1" xfId="0" applyNumberFormat="1" applyFont="1" applyFill="1" applyBorder="1" applyAlignment="1">
      <alignment horizontal="right" vertical="center"/>
    </xf>
    <xf numFmtId="3" fontId="3" fillId="5" borderId="1" xfId="0" applyNumberFormat="1" applyFont="1" applyFill="1" applyBorder="1" applyAlignment="1">
      <alignment horizontal="center" vertical="center"/>
    </xf>
    <xf numFmtId="170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/>
    </xf>
    <xf numFmtId="0" fontId="19" fillId="5" borderId="2" xfId="0" applyFont="1" applyFill="1" applyBorder="1" applyAlignment="1">
      <alignment horizontal="right" vertical="center" indent="1"/>
    </xf>
    <xf numFmtId="0" fontId="20" fillId="7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left" vertical="center" wrapText="1" indent="1"/>
    </xf>
    <xf numFmtId="3" fontId="21" fillId="4" borderId="1" xfId="0" applyNumberFormat="1" applyFont="1" applyFill="1" applyBorder="1" applyAlignment="1">
      <alignment horizontal="center" vertical="center" wrapText="1"/>
    </xf>
    <xf numFmtId="4" fontId="22" fillId="4" borderId="1" xfId="0" applyNumberFormat="1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left" vertical="center" wrapText="1" indent="1"/>
    </xf>
    <xf numFmtId="3" fontId="21" fillId="5" borderId="1" xfId="0" applyNumberFormat="1" applyFont="1" applyFill="1" applyBorder="1" applyAlignment="1">
      <alignment horizontal="center" vertical="center" wrapText="1"/>
    </xf>
    <xf numFmtId="4" fontId="22" fillId="5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/>
  </sheetViews>
  <sheetFormatPr defaultRowHeight="15" outlineLevelRow="0" outlineLevelCol="0" x14ac:dyDescent="55"/>
  <cols>
    <col min="1" max="1" width="38" customWidth="1"/>
    <col min="2" max="2" width="96" customWidth="1"/>
  </cols>
  <sheetData>
    <row r="1" ht="38" customHeight="1" spans="1:2" x14ac:dyDescent="0.25">
      <c r="A1" s="1" t="s">
        <v>0</v>
      </c>
      <c r="B1" s="1"/>
    </row>
    <row r="2" ht="52" customHeight="1" spans="1:2" x14ac:dyDescent="0.25">
      <c r="A2" s="2" t="s">
        <v>1</v>
      </c>
      <c r="B2" s="3" t="s">
        <v>2</v>
      </c>
    </row>
    <row r="3" ht="64" customHeight="1" spans="1:2" x14ac:dyDescent="0.25">
      <c r="A3" s="2" t="s">
        <v>3</v>
      </c>
      <c r="B3" s="4" t="s">
        <v>4</v>
      </c>
    </row>
    <row r="4" ht="52" customHeight="1" spans="1:2" x14ac:dyDescent="0.25">
      <c r="A4" s="2" t="s">
        <v>5</v>
      </c>
      <c r="B4" s="3" t="s">
        <v>6</v>
      </c>
    </row>
    <row r="5" ht="45" customHeight="1" spans="1:2" x14ac:dyDescent="0.25">
      <c r="A5" s="2" t="s">
        <v>7</v>
      </c>
      <c r="B5" s="4" t="s">
        <v>8</v>
      </c>
    </row>
    <row r="6" ht="88" customHeight="1" spans="1:2" x14ac:dyDescent="0.25">
      <c r="A6" s="2" t="s">
        <v>9</v>
      </c>
      <c r="B6" s="3" t="s">
        <v>10</v>
      </c>
    </row>
    <row r="7" ht="45" customHeight="1" spans="1:2" x14ac:dyDescent="0.25">
      <c r="A7" s="2" t="s">
        <v>11</v>
      </c>
      <c r="B7" s="4" t="s">
        <v>12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4"/>
  <sheetViews>
    <sheetView workbookViewId="0"/>
  </sheetViews>
  <sheetFormatPr defaultRowHeight="15" outlineLevelRow="0" outlineLevelCol="0" x14ac:dyDescent="55"/>
  <cols>
    <col min="1" max="1" width="48" customWidth="1"/>
    <col min="2" max="2" width="32" customWidth="1"/>
    <col min="3" max="3" width="22" customWidth="1"/>
    <col min="4" max="4" width="60" customWidth="1"/>
    <col min="5" max="5" width="72" customWidth="1"/>
  </cols>
  <sheetData>
    <row r="1" ht="38" customHeight="1" spans="1:5" x14ac:dyDescent="0.25">
      <c r="A1" s="1" t="s">
        <v>13</v>
      </c>
      <c r="B1" s="1"/>
      <c r="C1" s="1"/>
      <c r="D1" s="1"/>
      <c r="E1" s="1"/>
    </row>
    <row r="2" ht="26" customHeight="1" spans="1:5" x14ac:dyDescent="0.25">
      <c r="A2" s="5" t="s">
        <v>14</v>
      </c>
      <c r="B2" s="5"/>
      <c r="C2" s="5"/>
      <c r="D2" s="5"/>
      <c r="E2" s="5"/>
    </row>
    <row r="3" ht="26" customHeight="1" spans="1:5" x14ac:dyDescent="0.25">
      <c r="A3" s="6" t="s">
        <v>15</v>
      </c>
      <c r="B3" s="6"/>
      <c r="C3" s="6"/>
      <c r="D3" s="6"/>
      <c r="E3" s="6"/>
    </row>
    <row r="4" ht="28" customHeight="1" spans="1:5" x14ac:dyDescent="0.25">
      <c r="A4" s="7" t="s">
        <v>16</v>
      </c>
      <c r="B4" s="8" t="s">
        <v>17</v>
      </c>
      <c r="C4" s="9">
        <f>VLOOKUP(B4, A6:C10, 2, FALSE)</f>
        <v>7.2</v>
      </c>
      <c r="D4" s="10" t="str">
        <f>VLOOKUP(B4, A6:C10, 3, FALSE)</f>
        <v>$</v>
      </c>
      <c r="E4" s="11" t="s">
        <v>18</v>
      </c>
    </row>
    <row r="5" ht="24" customHeight="1" spans="1:5" x14ac:dyDescent="0.25">
      <c r="A5" s="12" t="s">
        <v>19</v>
      </c>
      <c r="B5" s="12" t="s">
        <v>20</v>
      </c>
      <c r="C5" s="12" t="s">
        <v>21</v>
      </c>
      <c r="D5" s="12" t="s">
        <v>22</v>
      </c>
      <c r="E5" s="12" t="s">
        <v>23</v>
      </c>
    </row>
    <row r="6" ht="22" customHeight="1" spans="1:5" x14ac:dyDescent="0.25">
      <c r="A6" s="13" t="s">
        <v>17</v>
      </c>
      <c r="B6" s="14">
        <v>7.2</v>
      </c>
      <c r="C6" s="15" t="s">
        <v>24</v>
      </c>
      <c r="D6" s="16" t="s">
        <v>25</v>
      </c>
      <c r="E6" s="16" t="s">
        <v>26</v>
      </c>
    </row>
    <row r="7" ht="22" customHeight="1" spans="1:5" x14ac:dyDescent="0.25">
      <c r="A7" s="17" t="s">
        <v>27</v>
      </c>
      <c r="B7" s="18">
        <v>7.85</v>
      </c>
      <c r="C7" s="19" t="s">
        <v>28</v>
      </c>
      <c r="D7" s="20" t="s">
        <v>29</v>
      </c>
      <c r="E7" s="20" t="s">
        <v>30</v>
      </c>
    </row>
    <row r="8" ht="22" customHeight="1" spans="1:5" x14ac:dyDescent="0.25">
      <c r="A8" s="13" t="s">
        <v>31</v>
      </c>
      <c r="B8" s="14">
        <v>9.1</v>
      </c>
      <c r="C8" s="15" t="s">
        <v>32</v>
      </c>
      <c r="D8" s="16" t="s">
        <v>29</v>
      </c>
      <c r="E8" s="16" t="s">
        <v>33</v>
      </c>
    </row>
    <row r="9" ht="22" customHeight="1" spans="1:5" x14ac:dyDescent="0.25">
      <c r="A9" s="17" t="s">
        <v>34</v>
      </c>
      <c r="B9" s="18">
        <v>4.8</v>
      </c>
      <c r="C9" s="19" t="s">
        <v>35</v>
      </c>
      <c r="D9" s="20" t="s">
        <v>29</v>
      </c>
      <c r="E9" s="20" t="s">
        <v>36</v>
      </c>
    </row>
    <row r="10" ht="22" customHeight="1" spans="1:5" x14ac:dyDescent="0.25">
      <c r="A10" s="13" t="s">
        <v>37</v>
      </c>
      <c r="B10" s="14">
        <v>5.3</v>
      </c>
      <c r="C10" s="15" t="s">
        <v>38</v>
      </c>
      <c r="D10" s="16" t="s">
        <v>29</v>
      </c>
      <c r="E10" s="16" t="s">
        <v>39</v>
      </c>
    </row>
    <row r="11" ht="26" customHeight="1" spans="1:5" x14ac:dyDescent="0.25">
      <c r="A11" s="6" t="s">
        <v>40</v>
      </c>
      <c r="B11" s="6"/>
      <c r="C11" s="6"/>
      <c r="D11" s="6"/>
      <c r="E11" s="6"/>
    </row>
    <row r="12" ht="24" customHeight="1" spans="1:5" x14ac:dyDescent="0.25">
      <c r="A12" s="12" t="s">
        <v>41</v>
      </c>
      <c r="B12" s="12" t="s">
        <v>42</v>
      </c>
      <c r="C12" s="12" t="s">
        <v>43</v>
      </c>
      <c r="D12" s="12" t="s">
        <v>44</v>
      </c>
      <c r="E12" s="12" t="s">
        <v>45</v>
      </c>
    </row>
    <row r="13" ht="24" customHeight="1" spans="1:5" x14ac:dyDescent="0.25">
      <c r="A13" s="21" t="s">
        <v>46</v>
      </c>
      <c r="B13" s="22">
        <v>0.15</v>
      </c>
      <c r="C13" s="15" t="s">
        <v>47</v>
      </c>
      <c r="D13" s="16" t="s">
        <v>48</v>
      </c>
      <c r="E13" s="16" t="s">
        <v>49</v>
      </c>
    </row>
    <row r="14" ht="24" customHeight="1" spans="1:5" x14ac:dyDescent="0.25">
      <c r="A14" s="23" t="s">
        <v>50</v>
      </c>
      <c r="B14" s="24">
        <v>0.08</v>
      </c>
      <c r="C14" s="25" t="s">
        <v>51</v>
      </c>
      <c r="D14" s="26" t="s">
        <v>52</v>
      </c>
      <c r="E14" s="26" t="s">
        <v>53</v>
      </c>
    </row>
    <row r="15" ht="24" customHeight="1" spans="1:5" x14ac:dyDescent="0.25">
      <c r="A15" s="21" t="s">
        <v>54</v>
      </c>
      <c r="B15" s="27">
        <v>2.5</v>
      </c>
      <c r="C15" s="15" t="s">
        <v>55</v>
      </c>
      <c r="D15" s="16" t="s">
        <v>56</v>
      </c>
      <c r="E15" s="16" t="s">
        <v>57</v>
      </c>
    </row>
    <row r="16" ht="24" customHeight="1" spans="1:5" x14ac:dyDescent="0.25">
      <c r="A16" s="28" t="s">
        <v>58</v>
      </c>
      <c r="B16" s="17" t="s">
        <v>59</v>
      </c>
      <c r="C16" s="19" t="s">
        <v>60</v>
      </c>
      <c r="D16" s="20" t="s">
        <v>61</v>
      </c>
      <c r="E16" s="20" t="s">
        <v>62</v>
      </c>
    </row>
    <row r="18" ht="26" customHeight="1" spans="1:5" x14ac:dyDescent="0.25">
      <c r="A18" s="6" t="s">
        <v>63</v>
      </c>
      <c r="B18" s="6"/>
      <c r="C18" s="6"/>
      <c r="D18" s="6"/>
      <c r="E18" s="6"/>
    </row>
    <row r="19" ht="24" customHeight="1" spans="1:5" x14ac:dyDescent="0.25">
      <c r="A19" s="12" t="s">
        <v>64</v>
      </c>
      <c r="B19" s="12" t="s">
        <v>65</v>
      </c>
      <c r="C19" s="12" t="s">
        <v>66</v>
      </c>
      <c r="D19" s="12" t="s">
        <v>67</v>
      </c>
      <c r="E19" s="12" t="s">
        <v>68</v>
      </c>
    </row>
    <row r="20" ht="22" customHeight="1" spans="1:5" x14ac:dyDescent="0.25">
      <c r="A20" s="13" t="s">
        <v>69</v>
      </c>
      <c r="B20" s="16" t="s">
        <v>70</v>
      </c>
      <c r="C20" s="29">
        <v>0</v>
      </c>
      <c r="D20" s="29">
        <v>0</v>
      </c>
      <c r="E20" s="16" t="s">
        <v>71</v>
      </c>
    </row>
    <row r="21" ht="22" customHeight="1" spans="1:5" x14ac:dyDescent="0.25">
      <c r="A21" s="17" t="s">
        <v>72</v>
      </c>
      <c r="B21" s="20" t="s">
        <v>73</v>
      </c>
      <c r="C21" s="30">
        <v>0.2</v>
      </c>
      <c r="D21" s="30">
        <v>1500</v>
      </c>
      <c r="E21" s="20" t="s">
        <v>74</v>
      </c>
    </row>
    <row r="22" ht="22" customHeight="1" spans="1:5" x14ac:dyDescent="0.25">
      <c r="A22" s="13" t="s">
        <v>75</v>
      </c>
      <c r="B22" s="16" t="s">
        <v>76</v>
      </c>
      <c r="C22" s="15" t="s">
        <v>77</v>
      </c>
      <c r="D22" s="15" t="s">
        <v>78</v>
      </c>
      <c r="E22" s="16" t="s">
        <v>79</v>
      </c>
    </row>
    <row r="24" ht="26" customHeight="1" spans="1:5" x14ac:dyDescent="0.25">
      <c r="A24" s="6" t="s">
        <v>80</v>
      </c>
      <c r="B24" s="6"/>
      <c r="C24" s="6"/>
      <c r="D24" s="6"/>
      <c r="E24" s="6"/>
    </row>
    <row r="25" ht="24" customHeight="1" spans="1:5" x14ac:dyDescent="0.25">
      <c r="A25" s="12" t="s">
        <v>81</v>
      </c>
      <c r="B25" s="12" t="s">
        <v>82</v>
      </c>
      <c r="C25" s="12" t="s">
        <v>83</v>
      </c>
      <c r="D25" s="12" t="s">
        <v>84</v>
      </c>
      <c r="E25" s="12" t="s">
        <v>85</v>
      </c>
    </row>
    <row r="26" ht="22" customHeight="1" spans="1:5" x14ac:dyDescent="0.25">
      <c r="A26" s="21" t="s">
        <v>86</v>
      </c>
      <c r="B26" s="31">
        <v>-0.02</v>
      </c>
      <c r="C26" s="15" t="s">
        <v>87</v>
      </c>
      <c r="D26" s="16" t="s">
        <v>88</v>
      </c>
      <c r="E26" s="16" t="s">
        <v>89</v>
      </c>
    </row>
    <row r="27" ht="22" customHeight="1" spans="1:5" x14ac:dyDescent="0.25">
      <c r="A27" s="28" t="s">
        <v>90</v>
      </c>
      <c r="B27" s="32">
        <v>0</v>
      </c>
      <c r="C27" s="19" t="s">
        <v>87</v>
      </c>
      <c r="D27" s="20" t="s">
        <v>91</v>
      </c>
      <c r="E27" s="20" t="s">
        <v>92</v>
      </c>
    </row>
    <row r="28" ht="22" customHeight="1" spans="1:5" x14ac:dyDescent="0.25">
      <c r="A28" s="21" t="s">
        <v>93</v>
      </c>
      <c r="B28" s="31">
        <v>0.015</v>
      </c>
      <c r="C28" s="15" t="s">
        <v>94</v>
      </c>
      <c r="D28" s="16" t="s">
        <v>95</v>
      </c>
      <c r="E28" s="16" t="s">
        <v>96</v>
      </c>
    </row>
    <row r="30" ht="26" customHeight="1" spans="1:5" x14ac:dyDescent="0.25">
      <c r="A30" s="6" t="s">
        <v>97</v>
      </c>
      <c r="B30" s="6"/>
      <c r="C30" s="6"/>
      <c r="D30" s="6"/>
      <c r="E30" s="6"/>
    </row>
    <row r="31" ht="24" customHeight="1" spans="1:5" x14ac:dyDescent="0.25">
      <c r="A31" s="12" t="s">
        <v>98</v>
      </c>
      <c r="B31" s="12" t="s">
        <v>99</v>
      </c>
      <c r="C31" s="12" t="s">
        <v>100</v>
      </c>
      <c r="D31" s="12" t="s">
        <v>101</v>
      </c>
      <c r="E31" s="12" t="s">
        <v>102</v>
      </c>
    </row>
    <row r="32" ht="22" customHeight="1" spans="1:5" x14ac:dyDescent="0.25">
      <c r="A32" s="21" t="s">
        <v>103</v>
      </c>
      <c r="B32" s="33">
        <v>28</v>
      </c>
      <c r="C32" s="33">
        <v>33.2</v>
      </c>
      <c r="D32" s="34">
        <v>21800</v>
      </c>
      <c r="E32" s="16" t="s">
        <v>104</v>
      </c>
    </row>
    <row r="33" ht="22" customHeight="1" spans="1:5" x14ac:dyDescent="0.25">
      <c r="A33" s="28" t="s">
        <v>105</v>
      </c>
      <c r="B33" s="35">
        <v>58</v>
      </c>
      <c r="C33" s="35">
        <v>67.7</v>
      </c>
      <c r="D33" s="36">
        <v>26000</v>
      </c>
      <c r="E33" s="20" t="s">
        <v>106</v>
      </c>
    </row>
    <row r="34" ht="22" customHeight="1" spans="1:5" x14ac:dyDescent="0.25">
      <c r="A34" s="21" t="s">
        <v>107</v>
      </c>
      <c r="B34" s="33">
        <v>68</v>
      </c>
      <c r="C34" s="33">
        <v>76.3</v>
      </c>
      <c r="D34" s="34">
        <v>26000</v>
      </c>
      <c r="E34" s="16" t="s">
        <v>108</v>
      </c>
    </row>
  </sheetData>
  <mergeCells count="7">
    <mergeCell ref="A1:E1"/>
    <mergeCell ref="A2:E2"/>
    <mergeCell ref="A3:E3"/>
    <mergeCell ref="A11:E11"/>
    <mergeCell ref="A18:E18"/>
    <mergeCell ref="A24:E24"/>
    <mergeCell ref="A30:E30"/>
  </mergeCells>
  <dataValidations count="1">
    <dataValidation type="list" sqref="B4">
      <formula1>"USD,EUR,GBP,AUD,CAD"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26" customWidth="1"/>
    <col min="2" max="2" width="55" customWidth="1"/>
    <col min="3" max="3" width="60" customWidth="1"/>
    <col min="4" max="4" width="34" customWidth="1"/>
    <col min="5" max="5" width="28" customWidth="1"/>
    <col min="6" max="7" width="26" customWidth="1"/>
    <col min="8" max="8" width="30" customWidth="1"/>
    <col min="9" max="10" width="36" customWidth="1"/>
    <col min="11" max="11" width="26" customWidth="1"/>
    <col min="12" max="12" width="25" customWidth="1"/>
    <col min="13" max="13" width="22" customWidth="1"/>
    <col min="14" max="14" width="28" customWidth="1"/>
    <col min="15" max="16" width="26" customWidth="1"/>
    <col min="17" max="17" width="24" customWidth="1"/>
  </cols>
  <sheetData>
    <row r="1" ht="32" customHeight="1" spans="1:17" x14ac:dyDescent="0.25">
      <c r="A1" s="37" t="s">
        <v>109</v>
      </c>
      <c r="B1" s="37" t="s">
        <v>110</v>
      </c>
      <c r="C1" s="37" t="s">
        <v>111</v>
      </c>
      <c r="D1" s="37" t="s">
        <v>112</v>
      </c>
      <c r="E1" s="37" t="s">
        <v>113</v>
      </c>
      <c r="F1" s="37" t="s">
        <v>114</v>
      </c>
      <c r="G1" s="37" t="s">
        <v>115</v>
      </c>
      <c r="H1" s="37" t="s">
        <v>116</v>
      </c>
      <c r="I1" s="37" t="s">
        <v>117</v>
      </c>
      <c r="J1" s="37" t="s">
        <v>118</v>
      </c>
      <c r="K1" s="37" t="s">
        <v>119</v>
      </c>
      <c r="L1" s="38" t="s">
        <v>120</v>
      </c>
      <c r="M1" s="38" t="s">
        <v>121</v>
      </c>
      <c r="N1" s="38" t="str">
        <f>"🎯 FOB核算单价 (" &amp; '⚙️ 全局核算参数 (Config)'!$B$4 &amp; ")"</f>
        <v>🎯 FOB核算单价 (USD)</v>
      </c>
      <c r="O1" s="38" t="s">
        <v>122</v>
      </c>
      <c r="P1" s="38" t="s">
        <v>123</v>
      </c>
      <c r="Q1" s="38" t="s">
        <v>124</v>
      </c>
    </row>
    <row r="2" ht="24" customHeight="1" spans="1:17" x14ac:dyDescent="0.25">
      <c r="A2" s="39" t="s">
        <v>125</v>
      </c>
      <c r="B2" s="40" t="s">
        <v>126</v>
      </c>
      <c r="C2" s="41" t="s">
        <v>127</v>
      </c>
      <c r="D2" s="42">
        <v>15.5</v>
      </c>
      <c r="E2" s="43">
        <v>500</v>
      </c>
      <c r="F2" s="43">
        <v>50</v>
      </c>
      <c r="G2" s="44">
        <v>0.045</v>
      </c>
      <c r="H2" s="45">
        <v>14.5</v>
      </c>
      <c r="I2" s="46"/>
      <c r="J2" s="39" t="s">
        <v>128</v>
      </c>
      <c r="K2" s="39" t="s">
        <v>129</v>
      </c>
      <c r="L2" s="47">
        <f>IF(ISBLANK(D2), "", '⚙️ 全局核算参数 (Config)'!$C$21)</f>
      </c>
      <c r="M2" s="48">
        <f>IF(ISBLANK(D2), "", IF(ISBLANK(I2), '⚙️ 全局核算参数 (Config)'!$B$13, I2))</f>
      </c>
      <c r="N2" s="49">
        <f>IF(ISBLANK(D2), "", ROUND(((D2 * (1 + M2) + L2) / '⚙️ 全局核算参数 (Config)'!$C$4), 2))</f>
      </c>
      <c r="O2" s="50">
        <f>IF(OR(ISBLANK(D2), NOT(AND(G2&gt;0, F2&gt;0))), "", INT(('⚙️ 全局核算参数 (Config)'!$B$32 / G2)) * F2)</f>
      </c>
      <c r="P2" s="50">
        <f>IF(OR(ISBLANK(D2), NOT(AND(G2&gt;0, F2&gt;0))), "", INT(('⚙️ 全局核算参数 (Config)'!$B$34 / G2)) * F2)</f>
      </c>
      <c r="Q2" s="51">
        <f>IF(ISBLANK(D2), "", IF(M2&lt;'⚙️ 全局核算参数 (Config)'!$B$14, "🚨 穿透红线", IF(M2&gt;=0.25, "💎 高毛利款", "✅ 利润健康")))</f>
      </c>
    </row>
    <row r="3" ht="28" customHeight="1" spans="1:17" x14ac:dyDescent="0.25">
      <c r="A3" s="52" t="s">
        <v>130</v>
      </c>
      <c r="B3" s="53" t="s">
        <v>131</v>
      </c>
      <c r="C3" s="54" t="s">
        <v>132</v>
      </c>
      <c r="D3" s="55">
        <v>0.85</v>
      </c>
      <c r="E3" s="56">
        <v>5000</v>
      </c>
      <c r="F3" s="56">
        <v>1000</v>
      </c>
      <c r="G3" s="57">
        <v>0.02</v>
      </c>
      <c r="H3" s="58">
        <v>18</v>
      </c>
      <c r="I3" s="59">
        <v>0.18</v>
      </c>
      <c r="J3" s="52" t="s">
        <v>133</v>
      </c>
      <c r="K3" s="52" t="s">
        <v>134</v>
      </c>
      <c r="L3" s="47">
        <f>IF(ISBLANK(D3), "", '⚙️ 全局核算参数 (Config)'!$C$21)</f>
      </c>
      <c r="M3" s="48">
        <f>IF(ISBLANK(D3), "", IF(ISBLANK(I3), '⚙️ 全局核算参数 (Config)'!$B$13, I3))</f>
      </c>
      <c r="N3" s="49">
        <f>IF(ISBLANK(D3), "", ROUND(((D3 * (1 + M3) + L3) / '⚙️ 全局核算参数 (Config)'!$C$4), 2))</f>
      </c>
      <c r="O3" s="50">
        <f>IF(OR(ISBLANK(D3), NOT(AND(G3&gt;0, F3&gt;0))), "", INT(('⚙️ 全局核算参数 (Config)'!$B$32 / G3)) * F3)</f>
      </c>
      <c r="P3" s="50">
        <f>IF(OR(ISBLANK(D3), NOT(AND(G3&gt;0, F3&gt;0))), "", INT(('⚙️ 全局核算参数 (Config)'!$B$34 / G3)) * F3)</f>
      </c>
      <c r="Q3" s="51">
        <f>IF(ISBLANK(D3), "", IF(M3&lt;'⚙️ 全局核算参数 (Config)'!$B$14, "🚨 穿透红线", IF(M3&gt;=0.25, "💎 高毛利款", "✅ 利润健康")))</f>
      </c>
    </row>
    <row r="4" ht="24" customHeight="1" spans="1:17" x14ac:dyDescent="0.25">
      <c r="A4" s="39" t="s">
        <v>135</v>
      </c>
      <c r="B4" s="40" t="s">
        <v>136</v>
      </c>
      <c r="C4" s="41" t="s">
        <v>137</v>
      </c>
      <c r="D4" s="42">
        <v>185</v>
      </c>
      <c r="E4" s="43">
        <v>50</v>
      </c>
      <c r="F4" s="43">
        <v>1</v>
      </c>
      <c r="G4" s="44">
        <v>0.16</v>
      </c>
      <c r="H4" s="45">
        <v>16.2</v>
      </c>
      <c r="I4" s="46">
        <v>0.25</v>
      </c>
      <c r="J4" s="39" t="s">
        <v>138</v>
      </c>
      <c r="K4" s="39" t="s">
        <v>139</v>
      </c>
      <c r="L4" s="47">
        <f>IF(ISBLANK(D4), "", '⚙️ 全局核算参数 (Config)'!$C$21)</f>
      </c>
      <c r="M4" s="48">
        <f>IF(ISBLANK(D4), "", IF(ISBLANK(I4), '⚙️ 全局核算参数 (Config)'!$B$13, I4))</f>
      </c>
      <c r="N4" s="49">
        <f>IF(ISBLANK(D4), "", ROUND(((D4 * (1 + M4) + L4) / '⚙️ 全局核算参数 (Config)'!$C$4), 2))</f>
      </c>
      <c r="O4" s="50">
        <f>IF(OR(ISBLANK(D4), NOT(AND(G4&gt;0, F4&gt;0))), "", INT(('⚙️ 全局核算参数 (Config)'!$B$32 / G4)) * F4)</f>
      </c>
      <c r="P4" s="50">
        <f>IF(OR(ISBLANK(D4), NOT(AND(G4&gt;0, F4&gt;0))), "", INT(('⚙️ 全局核算参数 (Config)'!$B$34 / G4)) * F4)</f>
      </c>
      <c r="Q4" s="51">
        <f>IF(ISBLANK(D4), "", IF(M4&lt;'⚙️ 全局核算参数 (Config)'!$B$14, "🚨 穿透红线", IF(M4&gt;=0.25, "💎 高毛利款", "✅ 利润健康")))</f>
      </c>
    </row>
    <row r="5" ht="24" customHeight="1" spans="1:17" x14ac:dyDescent="0.25">
      <c r="A5" s="52" t="s">
        <v>140</v>
      </c>
      <c r="B5" s="53" t="s">
        <v>141</v>
      </c>
      <c r="C5" s="54" t="s">
        <v>142</v>
      </c>
      <c r="D5" s="55">
        <v>38</v>
      </c>
      <c r="E5" s="56">
        <v>200</v>
      </c>
      <c r="F5" s="56">
        <v>5</v>
      </c>
      <c r="G5" s="57">
        <v>0.08</v>
      </c>
      <c r="H5" s="58">
        <v>11</v>
      </c>
      <c r="I5" s="59"/>
      <c r="J5" s="52" t="s">
        <v>143</v>
      </c>
      <c r="K5" s="52" t="s">
        <v>144</v>
      </c>
      <c r="L5" s="47">
        <f>IF(ISBLANK(D5), "", '⚙️ 全局核算参数 (Config)'!$C$21)</f>
      </c>
      <c r="M5" s="48">
        <f>IF(ISBLANK(D5), "", IF(ISBLANK(I5), '⚙️ 全局核算参数 (Config)'!$B$13, I5))</f>
      </c>
      <c r="N5" s="49">
        <f>IF(ISBLANK(D5), "", ROUND(((D5 * (1 + M5) + L5) / '⚙️ 全局核算参数 (Config)'!$C$4), 2))</f>
      </c>
      <c r="O5" s="50">
        <f>IF(OR(ISBLANK(D5), NOT(AND(G5&gt;0, F5&gt;0))), "", INT(('⚙️ 全局核算参数 (Config)'!$B$32 / G5)) * F5)</f>
      </c>
      <c r="P5" s="50">
        <f>IF(OR(ISBLANK(D5), NOT(AND(G5&gt;0, F5&gt;0))), "", INT(('⚙️ 全局核算参数 (Config)'!$B$34 / G5)) * F5)</f>
      </c>
      <c r="Q5" s="51">
        <f>IF(ISBLANK(D5), "", IF(M5&lt;'⚙️ 全局核算参数 (Config)'!$B$14, "🚨 穿透红线", IF(M5&gt;=0.25, "💎 高毛利款", "✅ 利润健康")))</f>
      </c>
    </row>
    <row r="6" ht="24" customHeight="1" spans="1:17" x14ac:dyDescent="0.25">
      <c r="A6" s="39" t="s">
        <v>145</v>
      </c>
      <c r="B6" s="40" t="s">
        <v>146</v>
      </c>
      <c r="C6" s="41" t="s">
        <v>147</v>
      </c>
      <c r="D6" s="42">
        <v>24</v>
      </c>
      <c r="E6" s="43">
        <v>300</v>
      </c>
      <c r="F6" s="43">
        <v>20</v>
      </c>
      <c r="G6" s="44">
        <v>0.055</v>
      </c>
      <c r="H6" s="45">
        <v>9.5</v>
      </c>
      <c r="I6" s="46"/>
      <c r="J6" s="39" t="s">
        <v>128</v>
      </c>
      <c r="K6" s="39" t="s">
        <v>144</v>
      </c>
      <c r="L6" s="47">
        <f>IF(ISBLANK(D6), "", '⚙️ 全局核算参数 (Config)'!$C$21)</f>
      </c>
      <c r="M6" s="48">
        <f>IF(ISBLANK(D6), "", IF(ISBLANK(I6), '⚙️ 全局核算参数 (Config)'!$B$13, I6))</f>
      </c>
      <c r="N6" s="49">
        <f>IF(ISBLANK(D6), "", ROUND(((D6 * (1 + M6) + L6) / '⚙️ 全局核算参数 (Config)'!$C$4), 2))</f>
      </c>
      <c r="O6" s="50">
        <f>IF(OR(ISBLANK(D6), NOT(AND(G6&gt;0, F6&gt;0))), "", INT(('⚙️ 全局核算参数 (Config)'!$B$32 / G6)) * F6)</f>
      </c>
      <c r="P6" s="50">
        <f>IF(OR(ISBLANK(D6), NOT(AND(G6&gt;0, F6&gt;0))), "", INT(('⚙️ 全局核算参数 (Config)'!$B$34 / G6)) * F6)</f>
      </c>
      <c r="Q6" s="51">
        <f>IF(ISBLANK(D6), "", IF(M6&lt;'⚙️ 全局核算参数 (Config)'!$B$14, "🚨 穿透红线", IF(M6&gt;=0.25, "💎 高毛利款", "✅ 利润健康")))</f>
      </c>
    </row>
    <row r="7" ht="24" customHeight="1" spans="1:17" x14ac:dyDescent="0.25">
      <c r="A7" s="52" t="s">
        <v>148</v>
      </c>
      <c r="B7" s="53" t="s">
        <v>149</v>
      </c>
      <c r="C7" s="54" t="s">
        <v>147</v>
      </c>
      <c r="D7" s="55">
        <v>25</v>
      </c>
      <c r="E7" s="56">
        <v>300</v>
      </c>
      <c r="F7" s="56">
        <v>20</v>
      </c>
      <c r="G7" s="57">
        <v>0.055</v>
      </c>
      <c r="H7" s="58">
        <v>9.5</v>
      </c>
      <c r="I7" s="59"/>
      <c r="J7" s="52" t="s">
        <v>128</v>
      </c>
      <c r="K7" s="52" t="s">
        <v>144</v>
      </c>
      <c r="L7" s="47">
        <f>IF(ISBLANK(D7), "", '⚙️ 全局核算参数 (Config)'!$C$21)</f>
      </c>
      <c r="M7" s="48">
        <f>IF(ISBLANK(D7), "", IF(ISBLANK(I7), '⚙️ 全局核算参数 (Config)'!$B$13, I7))</f>
      </c>
      <c r="N7" s="49">
        <f>IF(ISBLANK(D7), "", ROUND(((D7 * (1 + M7) + L7) / '⚙️ 全局核算参数 (Config)'!$C$4), 2))</f>
      </c>
      <c r="O7" s="50">
        <f>IF(OR(ISBLANK(D7), NOT(AND(G7&gt;0, F7&gt;0))), "", INT(('⚙️ 全局核算参数 (Config)'!$B$32 / G7)) * F7)</f>
      </c>
      <c r="P7" s="50">
        <f>IF(OR(ISBLANK(D7), NOT(AND(G7&gt;0, F7&gt;0))), "", INT(('⚙️ 全局核算参数 (Config)'!$B$34 / G7)) * F7)</f>
      </c>
      <c r="Q7" s="51">
        <f>IF(ISBLANK(D7), "", IF(M7&lt;'⚙️ 全局核算参数 (Config)'!$B$14, "🚨 穿透红线", IF(M7&gt;=0.25, "💎 高毛利款", "✅ 利润健康")))</f>
      </c>
    </row>
    <row r="8" ht="24" customHeight="1" spans="1:17" x14ac:dyDescent="0.25">
      <c r="A8" s="39"/>
      <c r="B8" s="40"/>
      <c r="C8" s="41"/>
      <c r="D8" s="42"/>
      <c r="E8" s="43"/>
      <c r="F8" s="43"/>
      <c r="G8" s="44"/>
      <c r="H8" s="45"/>
      <c r="I8" s="46"/>
      <c r="J8" s="39"/>
      <c r="K8" s="39"/>
      <c r="L8" s="47">
        <f>IF(ISBLANK(D8), "", '⚙️ 全局核算参数 (Config)'!$C$21)</f>
      </c>
      <c r="M8" s="48">
        <f>IF(ISBLANK(D8), "", IF(ISBLANK(I8), '⚙️ 全局核算参数 (Config)'!$B$13, I8))</f>
      </c>
      <c r="N8" s="49">
        <f>IF(ISBLANK(D8), "", ROUND(((D8 * (1 + M8) + L8) / '⚙️ 全局核算参数 (Config)'!$C$4), 2))</f>
      </c>
      <c r="O8" s="50">
        <f>IF(OR(ISBLANK(D8), NOT(AND(G8&gt;0, F8&gt;0))), "", INT(('⚙️ 全局核算参数 (Config)'!$B$32 / G8)) * F8)</f>
      </c>
      <c r="P8" s="50">
        <f>IF(OR(ISBLANK(D8), NOT(AND(G8&gt;0, F8&gt;0))), "", INT(('⚙️ 全局核算参数 (Config)'!$B$34 / G8)) * F8)</f>
      </c>
      <c r="Q8" s="51">
        <f>IF(ISBLANK(D8), "", IF(M8&lt;'⚙️ 全局核算参数 (Config)'!$B$14, "🚨 穿透红线", IF(M8&gt;=0.25, "💎 高毛利款", "✅ 利润健康")))</f>
      </c>
    </row>
    <row r="9" ht="24" customHeight="1" spans="1:17" x14ac:dyDescent="0.25">
      <c r="A9" s="52"/>
      <c r="B9" s="53"/>
      <c r="C9" s="54"/>
      <c r="D9" s="55"/>
      <c r="E9" s="56"/>
      <c r="F9" s="56"/>
      <c r="G9" s="57"/>
      <c r="H9" s="58"/>
      <c r="I9" s="59"/>
      <c r="J9" s="52"/>
      <c r="K9" s="52"/>
      <c r="L9" s="47">
        <f>IF(ISBLANK(D9), "", '⚙️ 全局核算参数 (Config)'!$C$21)</f>
      </c>
      <c r="M9" s="48">
        <f>IF(ISBLANK(D9), "", IF(ISBLANK(I9), '⚙️ 全局核算参数 (Config)'!$B$13, I9))</f>
      </c>
      <c r="N9" s="49">
        <f>IF(ISBLANK(D9), "", ROUND(((D9 * (1 + M9) + L9) / '⚙️ 全局核算参数 (Config)'!$C$4), 2))</f>
      </c>
      <c r="O9" s="50">
        <f>IF(OR(ISBLANK(D9), NOT(AND(G9&gt;0, F9&gt;0))), "", INT(('⚙️ 全局核算参数 (Config)'!$B$32 / G9)) * F9)</f>
      </c>
      <c r="P9" s="50">
        <f>IF(OR(ISBLANK(D9), NOT(AND(G9&gt;0, F9&gt;0))), "", INT(('⚙️ 全局核算参数 (Config)'!$B$34 / G9)) * F9)</f>
      </c>
      <c r="Q9" s="51">
        <f>IF(ISBLANK(D9), "", IF(M9&lt;'⚙️ 全局核算参数 (Config)'!$B$14, "🚨 穿透红线", IF(M9&gt;=0.25, "💎 高毛利款", "✅ 利润健康")))</f>
      </c>
    </row>
    <row r="10" ht="24" customHeight="1" spans="1:17" x14ac:dyDescent="0.25">
      <c r="A10" s="39"/>
      <c r="B10" s="40"/>
      <c r="C10" s="41"/>
      <c r="D10" s="42"/>
      <c r="E10" s="43"/>
      <c r="F10" s="43"/>
      <c r="G10" s="44"/>
      <c r="H10" s="45"/>
      <c r="I10" s="46"/>
      <c r="J10" s="39"/>
      <c r="K10" s="39"/>
      <c r="L10" s="47">
        <f>IF(ISBLANK(D10), "", '⚙️ 全局核算参数 (Config)'!$C$21)</f>
      </c>
      <c r="M10" s="48">
        <f>IF(ISBLANK(D10), "", IF(ISBLANK(I10), '⚙️ 全局核算参数 (Config)'!$B$13, I10))</f>
      </c>
      <c r="N10" s="49">
        <f>IF(ISBLANK(D10), "", ROUND(((D10 * (1 + M10) + L10) / '⚙️ 全局核算参数 (Config)'!$C$4), 2))</f>
      </c>
      <c r="O10" s="50">
        <f>IF(OR(ISBLANK(D10), NOT(AND(G10&gt;0, F10&gt;0))), "", INT(('⚙️ 全局核算参数 (Config)'!$B$32 / G10)) * F10)</f>
      </c>
      <c r="P10" s="50">
        <f>IF(OR(ISBLANK(D10), NOT(AND(G10&gt;0, F10&gt;0))), "", INT(('⚙️ 全局核算参数 (Config)'!$B$34 / G10)) * F10)</f>
      </c>
      <c r="Q10" s="51">
        <f>IF(ISBLANK(D10), "", IF(M10&lt;'⚙️ 全局核算参数 (Config)'!$B$14, "🚨 穿透红线", IF(M10&gt;=0.25, "💎 高毛利款", "✅ 利润健康")))</f>
      </c>
    </row>
    <row r="11" ht="24" customHeight="1" spans="1:17" x14ac:dyDescent="0.25">
      <c r="A11" s="52"/>
      <c r="B11" s="53"/>
      <c r="C11" s="54"/>
      <c r="D11" s="55"/>
      <c r="E11" s="56"/>
      <c r="F11" s="56"/>
      <c r="G11" s="57"/>
      <c r="H11" s="58"/>
      <c r="I11" s="59"/>
      <c r="J11" s="52"/>
      <c r="K11" s="52"/>
      <c r="L11" s="47">
        <f>IF(ISBLANK(D11), "", '⚙️ 全局核算参数 (Config)'!$C$21)</f>
      </c>
      <c r="M11" s="48">
        <f>IF(ISBLANK(D11), "", IF(ISBLANK(I11), '⚙️ 全局核算参数 (Config)'!$B$13, I11))</f>
      </c>
      <c r="N11" s="49">
        <f>IF(ISBLANK(D11), "", ROUND(((D11 * (1 + M11) + L11) / '⚙️ 全局核算参数 (Config)'!$C$4), 2))</f>
      </c>
      <c r="O11" s="50">
        <f>IF(OR(ISBLANK(D11), NOT(AND(G11&gt;0, F11&gt;0))), "", INT(('⚙️ 全局核算参数 (Config)'!$B$32 / G11)) * F11)</f>
      </c>
      <c r="P11" s="50">
        <f>IF(OR(ISBLANK(D11), NOT(AND(G11&gt;0, F11&gt;0))), "", INT(('⚙️ 全局核算参数 (Config)'!$B$34 / G11)) * F11)</f>
      </c>
      <c r="Q11" s="51">
        <f>IF(ISBLANK(D11), "", IF(M11&lt;'⚙️ 全局核算参数 (Config)'!$B$14, "🚨 穿透红线", IF(M11&gt;=0.25, "💎 高毛利款", "✅ 利润健康")))</f>
      </c>
    </row>
    <row r="12" ht="24" customHeight="1" spans="1:17" x14ac:dyDescent="0.25">
      <c r="A12" s="39"/>
      <c r="B12" s="40"/>
      <c r="C12" s="41"/>
      <c r="D12" s="42"/>
      <c r="E12" s="43"/>
      <c r="F12" s="43"/>
      <c r="G12" s="44"/>
      <c r="H12" s="45"/>
      <c r="I12" s="46"/>
      <c r="J12" s="39"/>
      <c r="K12" s="39"/>
      <c r="L12" s="47">
        <f>IF(ISBLANK(D12), "", '⚙️ 全局核算参数 (Config)'!$C$21)</f>
      </c>
      <c r="M12" s="48">
        <f>IF(ISBLANK(D12), "", IF(ISBLANK(I12), '⚙️ 全局核算参数 (Config)'!$B$13, I12))</f>
      </c>
      <c r="N12" s="49">
        <f>IF(ISBLANK(D12), "", ROUND(((D12 * (1 + M12) + L12) / '⚙️ 全局核算参数 (Config)'!$C$4), 2))</f>
      </c>
      <c r="O12" s="50">
        <f>IF(OR(ISBLANK(D12), NOT(AND(G12&gt;0, F12&gt;0))), "", INT(('⚙️ 全局核算参数 (Config)'!$B$32 / G12)) * F12)</f>
      </c>
      <c r="P12" s="50">
        <f>IF(OR(ISBLANK(D12), NOT(AND(G12&gt;0, F12&gt;0))), "", INT(('⚙️ 全局核算参数 (Config)'!$B$34 / G12)) * F12)</f>
      </c>
      <c r="Q12" s="51">
        <f>IF(ISBLANK(D12), "", IF(M12&lt;'⚙️ 全局核算参数 (Config)'!$B$14, "🚨 穿透红线", IF(M12&gt;=0.25, "💎 高毛利款", "✅ 利润健康")))</f>
      </c>
    </row>
    <row r="13" ht="24" customHeight="1" spans="1:17" x14ac:dyDescent="0.25">
      <c r="A13" s="52"/>
      <c r="B13" s="53"/>
      <c r="C13" s="54"/>
      <c r="D13" s="55"/>
      <c r="E13" s="56"/>
      <c r="F13" s="56"/>
      <c r="G13" s="57"/>
      <c r="H13" s="58"/>
      <c r="I13" s="59"/>
      <c r="J13" s="52"/>
      <c r="K13" s="52"/>
      <c r="L13" s="47">
        <f>IF(ISBLANK(D13), "", '⚙️ 全局核算参数 (Config)'!$C$21)</f>
      </c>
      <c r="M13" s="48">
        <f>IF(ISBLANK(D13), "", IF(ISBLANK(I13), '⚙️ 全局核算参数 (Config)'!$B$13, I13))</f>
      </c>
      <c r="N13" s="49">
        <f>IF(ISBLANK(D13), "", ROUND(((D13 * (1 + M13) + L13) / '⚙️ 全局核算参数 (Config)'!$C$4), 2))</f>
      </c>
      <c r="O13" s="50">
        <f>IF(OR(ISBLANK(D13), NOT(AND(G13&gt;0, F13&gt;0))), "", INT(('⚙️ 全局核算参数 (Config)'!$B$32 / G13)) * F13)</f>
      </c>
      <c r="P13" s="50">
        <f>IF(OR(ISBLANK(D13), NOT(AND(G13&gt;0, F13&gt;0))), "", INT(('⚙️ 全局核算参数 (Config)'!$B$34 / G13)) * F13)</f>
      </c>
      <c r="Q13" s="51">
        <f>IF(ISBLANK(D13), "", IF(M13&lt;'⚙️ 全局核算参数 (Config)'!$B$14, "🚨 穿透红线", IF(M13&gt;=0.25, "💎 高毛利款", "✅ 利润健康")))</f>
      </c>
    </row>
    <row r="14" ht="24" customHeight="1" spans="1:17" x14ac:dyDescent="0.25">
      <c r="A14" s="39"/>
      <c r="B14" s="40"/>
      <c r="C14" s="41"/>
      <c r="D14" s="42"/>
      <c r="E14" s="43"/>
      <c r="F14" s="43"/>
      <c r="G14" s="44"/>
      <c r="H14" s="45"/>
      <c r="I14" s="46"/>
      <c r="J14" s="39"/>
      <c r="K14" s="39"/>
      <c r="L14" s="47">
        <f>IF(ISBLANK(D14), "", '⚙️ 全局核算参数 (Config)'!$C$21)</f>
      </c>
      <c r="M14" s="48">
        <f>IF(ISBLANK(D14), "", IF(ISBLANK(I14), '⚙️ 全局核算参数 (Config)'!$B$13, I14))</f>
      </c>
      <c r="N14" s="49">
        <f>IF(ISBLANK(D14), "", ROUND(((D14 * (1 + M14) + L14) / '⚙️ 全局核算参数 (Config)'!$C$4), 2))</f>
      </c>
      <c r="O14" s="50">
        <f>IF(OR(ISBLANK(D14), NOT(AND(G14&gt;0, F14&gt;0))), "", INT(('⚙️ 全局核算参数 (Config)'!$B$32 / G14)) * F14)</f>
      </c>
      <c r="P14" s="50">
        <f>IF(OR(ISBLANK(D14), NOT(AND(G14&gt;0, F14&gt;0))), "", INT(('⚙️ 全局核算参数 (Config)'!$B$34 / G14)) * F14)</f>
      </c>
      <c r="Q14" s="51">
        <f>IF(ISBLANK(D14), "", IF(M14&lt;'⚙️ 全局核算参数 (Config)'!$B$14, "🚨 穿透红线", IF(M14&gt;=0.25, "💎 高毛利款", "✅ 利润健康")))</f>
      </c>
    </row>
    <row r="15" ht="24" customHeight="1" spans="1:17" x14ac:dyDescent="0.25">
      <c r="A15" s="52"/>
      <c r="B15" s="53"/>
      <c r="C15" s="54"/>
      <c r="D15" s="55"/>
      <c r="E15" s="56"/>
      <c r="F15" s="56"/>
      <c r="G15" s="57"/>
      <c r="H15" s="58"/>
      <c r="I15" s="59"/>
      <c r="J15" s="52"/>
      <c r="K15" s="52"/>
      <c r="L15" s="47">
        <f>IF(ISBLANK(D15), "", '⚙️ 全局核算参数 (Config)'!$C$21)</f>
      </c>
      <c r="M15" s="48">
        <f>IF(ISBLANK(D15), "", IF(ISBLANK(I15), '⚙️ 全局核算参数 (Config)'!$B$13, I15))</f>
      </c>
      <c r="N15" s="49">
        <f>IF(ISBLANK(D15), "", ROUND(((D15 * (1 + M15) + L15) / '⚙️ 全局核算参数 (Config)'!$C$4), 2))</f>
      </c>
      <c r="O15" s="50">
        <f>IF(OR(ISBLANK(D15), NOT(AND(G15&gt;0, F15&gt;0))), "", INT(('⚙️ 全局核算参数 (Config)'!$B$32 / G15)) * F15)</f>
      </c>
      <c r="P15" s="50">
        <f>IF(OR(ISBLANK(D15), NOT(AND(G15&gt;0, F15&gt;0))), "", INT(('⚙️ 全局核算参数 (Config)'!$B$34 / G15)) * F15)</f>
      </c>
      <c r="Q15" s="51">
        <f>IF(ISBLANK(D15), "", IF(M15&lt;'⚙️ 全局核算参数 (Config)'!$B$14, "🚨 穿透红线", IF(M15&gt;=0.25, "💎 高毛利款", "✅ 利润健康")))</f>
      </c>
    </row>
    <row r="16" ht="24" customHeight="1" spans="1:17" x14ac:dyDescent="0.25">
      <c r="A16" s="39"/>
      <c r="B16" s="40"/>
      <c r="C16" s="41"/>
      <c r="D16" s="42"/>
      <c r="E16" s="43"/>
      <c r="F16" s="43"/>
      <c r="G16" s="44"/>
      <c r="H16" s="45"/>
      <c r="I16" s="46"/>
      <c r="J16" s="39"/>
      <c r="K16" s="39"/>
      <c r="L16" s="47">
        <f>IF(ISBLANK(D16), "", '⚙️ 全局核算参数 (Config)'!$C$21)</f>
      </c>
      <c r="M16" s="48">
        <f>IF(ISBLANK(D16), "", IF(ISBLANK(I16), '⚙️ 全局核算参数 (Config)'!$B$13, I16))</f>
      </c>
      <c r="N16" s="49">
        <f>IF(ISBLANK(D16), "", ROUND(((D16 * (1 + M16) + L16) / '⚙️ 全局核算参数 (Config)'!$C$4), 2))</f>
      </c>
      <c r="O16" s="50">
        <f>IF(OR(ISBLANK(D16), NOT(AND(G16&gt;0, F16&gt;0))), "", INT(('⚙️ 全局核算参数 (Config)'!$B$32 / G16)) * F16)</f>
      </c>
      <c r="P16" s="50">
        <f>IF(OR(ISBLANK(D16), NOT(AND(G16&gt;0, F16&gt;0))), "", INT(('⚙️ 全局核算参数 (Config)'!$B$34 / G16)) * F16)</f>
      </c>
      <c r="Q16" s="51">
        <f>IF(ISBLANK(D16), "", IF(M16&lt;'⚙️ 全局核算参数 (Config)'!$B$14, "🚨 穿透红线", IF(M16&gt;=0.25, "💎 高毛利款", "✅ 利润健康")))</f>
      </c>
    </row>
    <row r="17" ht="24" customHeight="1" spans="1:17" x14ac:dyDescent="0.25">
      <c r="A17" s="52"/>
      <c r="B17" s="53"/>
      <c r="C17" s="54"/>
      <c r="D17" s="55"/>
      <c r="E17" s="56"/>
      <c r="F17" s="56"/>
      <c r="G17" s="57"/>
      <c r="H17" s="58"/>
      <c r="I17" s="59"/>
      <c r="J17" s="52"/>
      <c r="K17" s="52"/>
      <c r="L17" s="47">
        <f>IF(ISBLANK(D17), "", '⚙️ 全局核算参数 (Config)'!$C$21)</f>
      </c>
      <c r="M17" s="48">
        <f>IF(ISBLANK(D17), "", IF(ISBLANK(I17), '⚙️ 全局核算参数 (Config)'!$B$13, I17))</f>
      </c>
      <c r="N17" s="49">
        <f>IF(ISBLANK(D17), "", ROUND(((D17 * (1 + M17) + L17) / '⚙️ 全局核算参数 (Config)'!$C$4), 2))</f>
      </c>
      <c r="O17" s="50">
        <f>IF(OR(ISBLANK(D17), NOT(AND(G17&gt;0, F17&gt;0))), "", INT(('⚙️ 全局核算参数 (Config)'!$B$32 / G17)) * F17)</f>
      </c>
      <c r="P17" s="50">
        <f>IF(OR(ISBLANK(D17), NOT(AND(G17&gt;0, F17&gt;0))), "", INT(('⚙️ 全局核算参数 (Config)'!$B$34 / G17)) * F17)</f>
      </c>
      <c r="Q17" s="51">
        <f>IF(ISBLANK(D17), "", IF(M17&lt;'⚙️ 全局核算参数 (Config)'!$B$14, "🚨 穿透红线", IF(M17&gt;=0.25, "💎 高毛利款", "✅ 利润健康")))</f>
      </c>
    </row>
    <row r="18" ht="24" customHeight="1" spans="1:17" x14ac:dyDescent="0.25">
      <c r="A18" s="39"/>
      <c r="B18" s="40"/>
      <c r="C18" s="41"/>
      <c r="D18" s="42"/>
      <c r="E18" s="43"/>
      <c r="F18" s="43"/>
      <c r="G18" s="44"/>
      <c r="H18" s="45"/>
      <c r="I18" s="46"/>
      <c r="J18" s="39"/>
      <c r="K18" s="39"/>
      <c r="L18" s="47">
        <f>IF(ISBLANK(D18), "", '⚙️ 全局核算参数 (Config)'!$C$21)</f>
      </c>
      <c r="M18" s="48">
        <f>IF(ISBLANK(D18), "", IF(ISBLANK(I18), '⚙️ 全局核算参数 (Config)'!$B$13, I18))</f>
      </c>
      <c r="N18" s="49">
        <f>IF(ISBLANK(D18), "", ROUND(((D18 * (1 + M18) + L18) / '⚙️ 全局核算参数 (Config)'!$C$4), 2))</f>
      </c>
      <c r="O18" s="50">
        <f>IF(OR(ISBLANK(D18), NOT(AND(G18&gt;0, F18&gt;0))), "", INT(('⚙️ 全局核算参数 (Config)'!$B$32 / G18)) * F18)</f>
      </c>
      <c r="P18" s="50">
        <f>IF(OR(ISBLANK(D18), NOT(AND(G18&gt;0, F18&gt;0))), "", INT(('⚙️ 全局核算参数 (Config)'!$B$34 / G18)) * F18)</f>
      </c>
      <c r="Q18" s="51">
        <f>IF(ISBLANK(D18), "", IF(M18&lt;'⚙️ 全局核算参数 (Config)'!$B$14, "🚨 穿透红线", IF(M18&gt;=0.25, "💎 高毛利款", "✅ 利润健康")))</f>
      </c>
    </row>
    <row r="19" ht="24" customHeight="1" spans="1:17" x14ac:dyDescent="0.25">
      <c r="A19" s="52"/>
      <c r="B19" s="53"/>
      <c r="C19" s="54"/>
      <c r="D19" s="55"/>
      <c r="E19" s="56"/>
      <c r="F19" s="56"/>
      <c r="G19" s="57"/>
      <c r="H19" s="58"/>
      <c r="I19" s="59"/>
      <c r="J19" s="52"/>
      <c r="K19" s="52"/>
      <c r="L19" s="47">
        <f>IF(ISBLANK(D19), "", '⚙️ 全局核算参数 (Config)'!$C$21)</f>
      </c>
      <c r="M19" s="48">
        <f>IF(ISBLANK(D19), "", IF(ISBLANK(I19), '⚙️ 全局核算参数 (Config)'!$B$13, I19))</f>
      </c>
      <c r="N19" s="49">
        <f>IF(ISBLANK(D19), "", ROUND(((D19 * (1 + M19) + L19) / '⚙️ 全局核算参数 (Config)'!$C$4), 2))</f>
      </c>
      <c r="O19" s="50">
        <f>IF(OR(ISBLANK(D19), NOT(AND(G19&gt;0, F19&gt;0))), "", INT(('⚙️ 全局核算参数 (Config)'!$B$32 / G19)) * F19)</f>
      </c>
      <c r="P19" s="50">
        <f>IF(OR(ISBLANK(D19), NOT(AND(G19&gt;0, F19&gt;0))), "", INT(('⚙️ 全局核算参数 (Config)'!$B$34 / G19)) * F19)</f>
      </c>
      <c r="Q19" s="51">
        <f>IF(ISBLANK(D19), "", IF(M19&lt;'⚙️ 全局核算参数 (Config)'!$B$14, "🚨 穿透红线", IF(M19&gt;=0.25, "💎 高毛利款", "✅ 利润健康")))</f>
      </c>
    </row>
    <row r="20" ht="24" customHeight="1" spans="1:17" x14ac:dyDescent="0.25">
      <c r="A20" s="39"/>
      <c r="B20" s="40"/>
      <c r="C20" s="41"/>
      <c r="D20" s="42"/>
      <c r="E20" s="43"/>
      <c r="F20" s="43"/>
      <c r="G20" s="44"/>
      <c r="H20" s="45"/>
      <c r="I20" s="46"/>
      <c r="J20" s="39"/>
      <c r="K20" s="39"/>
      <c r="L20" s="47">
        <f>IF(ISBLANK(D20), "", '⚙️ 全局核算参数 (Config)'!$C$21)</f>
      </c>
      <c r="M20" s="48">
        <f>IF(ISBLANK(D20), "", IF(ISBLANK(I20), '⚙️ 全局核算参数 (Config)'!$B$13, I20))</f>
      </c>
      <c r="N20" s="49">
        <f>IF(ISBLANK(D20), "", ROUND(((D20 * (1 + M20) + L20) / '⚙️ 全局核算参数 (Config)'!$C$4), 2))</f>
      </c>
      <c r="O20" s="50">
        <f>IF(OR(ISBLANK(D20), NOT(AND(G20&gt;0, F20&gt;0))), "", INT(('⚙️ 全局核算参数 (Config)'!$B$32 / G20)) * F20)</f>
      </c>
      <c r="P20" s="50">
        <f>IF(OR(ISBLANK(D20), NOT(AND(G20&gt;0, F20&gt;0))), "", INT(('⚙️ 全局核算参数 (Config)'!$B$34 / G20)) * F20)</f>
      </c>
      <c r="Q20" s="51">
        <f>IF(ISBLANK(D20), "", IF(M20&lt;'⚙️ 全局核算参数 (Config)'!$B$14, "🚨 穿透红线", IF(M20&gt;=0.25, "💎 高毛利款", "✅ 利润健康")))</f>
      </c>
    </row>
    <row r="21" ht="24" customHeight="1" spans="1:17" x14ac:dyDescent="0.25">
      <c r="A21" s="52"/>
      <c r="B21" s="53"/>
      <c r="C21" s="54"/>
      <c r="D21" s="55"/>
      <c r="E21" s="56"/>
      <c r="F21" s="56"/>
      <c r="G21" s="57"/>
      <c r="H21" s="58"/>
      <c r="I21" s="59"/>
      <c r="J21" s="52"/>
      <c r="K21" s="52"/>
      <c r="L21" s="47">
        <f>IF(ISBLANK(D21), "", '⚙️ 全局核算参数 (Config)'!$C$21)</f>
      </c>
      <c r="M21" s="48">
        <f>IF(ISBLANK(D21), "", IF(ISBLANK(I21), '⚙️ 全局核算参数 (Config)'!$B$13, I21))</f>
      </c>
      <c r="N21" s="49">
        <f>IF(ISBLANK(D21), "", ROUND(((D21 * (1 + M21) + L21) / '⚙️ 全局核算参数 (Config)'!$C$4), 2))</f>
      </c>
      <c r="O21" s="50">
        <f>IF(OR(ISBLANK(D21), NOT(AND(G21&gt;0, F21&gt;0))), "", INT(('⚙️ 全局核算参数 (Config)'!$B$32 / G21)) * F21)</f>
      </c>
      <c r="P21" s="50">
        <f>IF(OR(ISBLANK(D21), NOT(AND(G21&gt;0, F21&gt;0))), "", INT(('⚙️ 全局核算参数 (Config)'!$B$34 / G21)) * F21)</f>
      </c>
      <c r="Q21" s="51">
        <f>IF(ISBLANK(D21), "", IF(M21&lt;'⚙️ 全局核算参数 (Config)'!$B$14, "🚨 穿透红线", IF(M21&gt;=0.25, "💎 高毛利款", "✅ 利润健康")))</f>
      </c>
    </row>
    <row r="22" ht="24" customHeight="1" spans="1:17" x14ac:dyDescent="0.25">
      <c r="A22" s="39"/>
      <c r="B22" s="40"/>
      <c r="C22" s="41"/>
      <c r="D22" s="42"/>
      <c r="E22" s="43"/>
      <c r="F22" s="43"/>
      <c r="G22" s="44"/>
      <c r="H22" s="45"/>
      <c r="I22" s="46"/>
      <c r="J22" s="39"/>
      <c r="K22" s="39"/>
      <c r="L22" s="47">
        <f>IF(ISBLANK(D22), "", '⚙️ 全局核算参数 (Config)'!$C$21)</f>
      </c>
      <c r="M22" s="48">
        <f>IF(ISBLANK(D22), "", IF(ISBLANK(I22), '⚙️ 全局核算参数 (Config)'!$B$13, I22))</f>
      </c>
      <c r="N22" s="49">
        <f>IF(ISBLANK(D22), "", ROUND(((D22 * (1 + M22) + L22) / '⚙️ 全局核算参数 (Config)'!$C$4), 2))</f>
      </c>
      <c r="O22" s="50">
        <f>IF(OR(ISBLANK(D22), NOT(AND(G22&gt;0, F22&gt;0))), "", INT(('⚙️ 全局核算参数 (Config)'!$B$32 / G22)) * F22)</f>
      </c>
      <c r="P22" s="50">
        <f>IF(OR(ISBLANK(D22), NOT(AND(G22&gt;0, F22&gt;0))), "", INT(('⚙️ 全局核算参数 (Config)'!$B$34 / G22)) * F22)</f>
      </c>
      <c r="Q22" s="51">
        <f>IF(ISBLANK(D22), "", IF(M22&lt;'⚙️ 全局核算参数 (Config)'!$B$14, "🚨 穿透红线", IF(M22&gt;=0.25, "💎 高毛利款", "✅ 利润健康")))</f>
      </c>
    </row>
    <row r="23" ht="24" customHeight="1" spans="1:17" x14ac:dyDescent="0.25">
      <c r="A23" s="52"/>
      <c r="B23" s="53"/>
      <c r="C23" s="54"/>
      <c r="D23" s="55"/>
      <c r="E23" s="56"/>
      <c r="F23" s="56"/>
      <c r="G23" s="57"/>
      <c r="H23" s="58"/>
      <c r="I23" s="59"/>
      <c r="J23" s="52"/>
      <c r="K23" s="52"/>
      <c r="L23" s="47">
        <f>IF(ISBLANK(D23), "", '⚙️ 全局核算参数 (Config)'!$C$21)</f>
      </c>
      <c r="M23" s="48">
        <f>IF(ISBLANK(D23), "", IF(ISBLANK(I23), '⚙️ 全局核算参数 (Config)'!$B$13, I23))</f>
      </c>
      <c r="N23" s="49">
        <f>IF(ISBLANK(D23), "", ROUND(((D23 * (1 + M23) + L23) / '⚙️ 全局核算参数 (Config)'!$C$4), 2))</f>
      </c>
      <c r="O23" s="50">
        <f>IF(OR(ISBLANK(D23), NOT(AND(G23&gt;0, F23&gt;0))), "", INT(('⚙️ 全局核算参数 (Config)'!$B$32 / G23)) * F23)</f>
      </c>
      <c r="P23" s="50">
        <f>IF(OR(ISBLANK(D23), NOT(AND(G23&gt;0, F23&gt;0))), "", INT(('⚙️ 全局核算参数 (Config)'!$B$34 / G23)) * F23)</f>
      </c>
      <c r="Q23" s="51">
        <f>IF(ISBLANK(D23), "", IF(M23&lt;'⚙️ 全局核算参数 (Config)'!$B$14, "🚨 穿透红线", IF(M23&gt;=0.25, "💎 高毛利款", "✅ 利润健康")))</f>
      </c>
    </row>
    <row r="24" ht="24" customHeight="1" spans="1:17" x14ac:dyDescent="0.25">
      <c r="A24" s="39"/>
      <c r="B24" s="40"/>
      <c r="C24" s="41"/>
      <c r="D24" s="42"/>
      <c r="E24" s="43"/>
      <c r="F24" s="43"/>
      <c r="G24" s="44"/>
      <c r="H24" s="45"/>
      <c r="I24" s="46"/>
      <c r="J24" s="39"/>
      <c r="K24" s="39"/>
      <c r="L24" s="47">
        <f>IF(ISBLANK(D24), "", '⚙️ 全局核算参数 (Config)'!$C$21)</f>
      </c>
      <c r="M24" s="48">
        <f>IF(ISBLANK(D24), "", IF(ISBLANK(I24), '⚙️ 全局核算参数 (Config)'!$B$13, I24))</f>
      </c>
      <c r="N24" s="49">
        <f>IF(ISBLANK(D24), "", ROUND(((D24 * (1 + M24) + L24) / '⚙️ 全局核算参数 (Config)'!$C$4), 2))</f>
      </c>
      <c r="O24" s="50">
        <f>IF(OR(ISBLANK(D24), NOT(AND(G24&gt;0, F24&gt;0))), "", INT(('⚙️ 全局核算参数 (Config)'!$B$32 / G24)) * F24)</f>
      </c>
      <c r="P24" s="50">
        <f>IF(OR(ISBLANK(D24), NOT(AND(G24&gt;0, F24&gt;0))), "", INT(('⚙️ 全局核算参数 (Config)'!$B$34 / G24)) * F24)</f>
      </c>
      <c r="Q24" s="51">
        <f>IF(ISBLANK(D24), "", IF(M24&lt;'⚙️ 全局核算参数 (Config)'!$B$14, "🚨 穿透红线", IF(M24&gt;=0.25, "💎 高毛利款", "✅ 利润健康")))</f>
      </c>
    </row>
    <row r="25" ht="24" customHeight="1" spans="1:17" x14ac:dyDescent="0.25">
      <c r="A25" s="52"/>
      <c r="B25" s="53"/>
      <c r="C25" s="54"/>
      <c r="D25" s="55"/>
      <c r="E25" s="56"/>
      <c r="F25" s="56"/>
      <c r="G25" s="57"/>
      <c r="H25" s="58"/>
      <c r="I25" s="59"/>
      <c r="J25" s="52"/>
      <c r="K25" s="52"/>
      <c r="L25" s="47">
        <f>IF(ISBLANK(D25), "", '⚙️ 全局核算参数 (Config)'!$C$21)</f>
      </c>
      <c r="M25" s="48">
        <f>IF(ISBLANK(D25), "", IF(ISBLANK(I25), '⚙️ 全局核算参数 (Config)'!$B$13, I25))</f>
      </c>
      <c r="N25" s="49">
        <f>IF(ISBLANK(D25), "", ROUND(((D25 * (1 + M25) + L25) / '⚙️ 全局核算参数 (Config)'!$C$4), 2))</f>
      </c>
      <c r="O25" s="50">
        <f>IF(OR(ISBLANK(D25), NOT(AND(G25&gt;0, F25&gt;0))), "", INT(('⚙️ 全局核算参数 (Config)'!$B$32 / G25)) * F25)</f>
      </c>
      <c r="P25" s="50">
        <f>IF(OR(ISBLANK(D25), NOT(AND(G25&gt;0, F25&gt;0))), "", INT(('⚙️ 全局核算参数 (Config)'!$B$34 / G25)) * F25)</f>
      </c>
      <c r="Q25" s="51">
        <f>IF(ISBLANK(D25), "", IF(M25&lt;'⚙️ 全局核算参数 (Config)'!$B$14, "🚨 穿透红线", IF(M25&gt;=0.25, "💎 高毛利款", "✅ 利润健康")))</f>
      </c>
    </row>
    <row r="26" ht="24" customHeight="1" spans="1:17" x14ac:dyDescent="0.25">
      <c r="A26" s="39"/>
      <c r="B26" s="40"/>
      <c r="C26" s="41"/>
      <c r="D26" s="42"/>
      <c r="E26" s="43"/>
      <c r="F26" s="43"/>
      <c r="G26" s="44"/>
      <c r="H26" s="45"/>
      <c r="I26" s="46"/>
      <c r="J26" s="39"/>
      <c r="K26" s="39"/>
      <c r="L26" s="47">
        <f>IF(ISBLANK(D26), "", '⚙️ 全局核算参数 (Config)'!$C$21)</f>
      </c>
      <c r="M26" s="48">
        <f>IF(ISBLANK(D26), "", IF(ISBLANK(I26), '⚙️ 全局核算参数 (Config)'!$B$13, I26))</f>
      </c>
      <c r="N26" s="49">
        <f>IF(ISBLANK(D26), "", ROUND(((D26 * (1 + M26) + L26) / '⚙️ 全局核算参数 (Config)'!$C$4), 2))</f>
      </c>
      <c r="O26" s="50">
        <f>IF(OR(ISBLANK(D26), NOT(AND(G26&gt;0, F26&gt;0))), "", INT(('⚙️ 全局核算参数 (Config)'!$B$32 / G26)) * F26)</f>
      </c>
      <c r="P26" s="50">
        <f>IF(OR(ISBLANK(D26), NOT(AND(G26&gt;0, F26&gt;0))), "", INT(('⚙️ 全局核算参数 (Config)'!$B$34 / G26)) * F26)</f>
      </c>
      <c r="Q26" s="51">
        <f>IF(ISBLANK(D26), "", IF(M26&lt;'⚙️ 全局核算参数 (Config)'!$B$14, "🚨 穿透红线", IF(M26&gt;=0.25, "💎 高毛利款", "✅ 利润健康")))</f>
      </c>
    </row>
    <row r="27" ht="24" customHeight="1" spans="1:17" x14ac:dyDescent="0.25">
      <c r="A27" s="52"/>
      <c r="B27" s="53"/>
      <c r="C27" s="54"/>
      <c r="D27" s="55"/>
      <c r="E27" s="56"/>
      <c r="F27" s="56"/>
      <c r="G27" s="57"/>
      <c r="H27" s="58"/>
      <c r="I27" s="59"/>
      <c r="J27" s="52"/>
      <c r="K27" s="52"/>
      <c r="L27" s="47">
        <f>IF(ISBLANK(D27), "", '⚙️ 全局核算参数 (Config)'!$C$21)</f>
      </c>
      <c r="M27" s="48">
        <f>IF(ISBLANK(D27), "", IF(ISBLANK(I27), '⚙️ 全局核算参数 (Config)'!$B$13, I27))</f>
      </c>
      <c r="N27" s="49">
        <f>IF(ISBLANK(D27), "", ROUND(((D27 * (1 + M27) + L27) / '⚙️ 全局核算参数 (Config)'!$C$4), 2))</f>
      </c>
      <c r="O27" s="50">
        <f>IF(OR(ISBLANK(D27), NOT(AND(G27&gt;0, F27&gt;0))), "", INT(('⚙️ 全局核算参数 (Config)'!$B$32 / G27)) * F27)</f>
      </c>
      <c r="P27" s="50">
        <f>IF(OR(ISBLANK(D27), NOT(AND(G27&gt;0, F27&gt;0))), "", INT(('⚙️ 全局核算参数 (Config)'!$B$34 / G27)) * F27)</f>
      </c>
      <c r="Q27" s="51">
        <f>IF(ISBLANK(D27), "", IF(M27&lt;'⚙️ 全局核算参数 (Config)'!$B$14, "🚨 穿透红线", IF(M27&gt;=0.25, "💎 高毛利款", "✅ 利润健康")))</f>
      </c>
    </row>
    <row r="28" ht="24" customHeight="1" spans="1:17" x14ac:dyDescent="0.25">
      <c r="A28" s="39"/>
      <c r="B28" s="40"/>
      <c r="C28" s="41"/>
      <c r="D28" s="42"/>
      <c r="E28" s="43"/>
      <c r="F28" s="43"/>
      <c r="G28" s="44"/>
      <c r="H28" s="45"/>
      <c r="I28" s="46"/>
      <c r="J28" s="39"/>
      <c r="K28" s="39"/>
      <c r="L28" s="47">
        <f>IF(ISBLANK(D28), "", '⚙️ 全局核算参数 (Config)'!$C$21)</f>
      </c>
      <c r="M28" s="48">
        <f>IF(ISBLANK(D28), "", IF(ISBLANK(I28), '⚙️ 全局核算参数 (Config)'!$B$13, I28))</f>
      </c>
      <c r="N28" s="49">
        <f>IF(ISBLANK(D28), "", ROUND(((D28 * (1 + M28) + L28) / '⚙️ 全局核算参数 (Config)'!$C$4), 2))</f>
      </c>
      <c r="O28" s="50">
        <f>IF(OR(ISBLANK(D28), NOT(AND(G28&gt;0, F28&gt;0))), "", INT(('⚙️ 全局核算参数 (Config)'!$B$32 / G28)) * F28)</f>
      </c>
      <c r="P28" s="50">
        <f>IF(OR(ISBLANK(D28), NOT(AND(G28&gt;0, F28&gt;0))), "", INT(('⚙️ 全局核算参数 (Config)'!$B$34 / G28)) * F28)</f>
      </c>
      <c r="Q28" s="51">
        <f>IF(ISBLANK(D28), "", IF(M28&lt;'⚙️ 全局核算参数 (Config)'!$B$14, "🚨 穿透红线", IF(M28&gt;=0.25, "💎 高毛利款", "✅ 利润健康")))</f>
      </c>
    </row>
    <row r="29" ht="24" customHeight="1" spans="1:17" x14ac:dyDescent="0.25">
      <c r="A29" s="52"/>
      <c r="B29" s="53"/>
      <c r="C29" s="54"/>
      <c r="D29" s="55"/>
      <c r="E29" s="56"/>
      <c r="F29" s="56"/>
      <c r="G29" s="57"/>
      <c r="H29" s="58"/>
      <c r="I29" s="59"/>
      <c r="J29" s="52"/>
      <c r="K29" s="52"/>
      <c r="L29" s="47">
        <f>IF(ISBLANK(D29), "", '⚙️ 全局核算参数 (Config)'!$C$21)</f>
      </c>
      <c r="M29" s="48">
        <f>IF(ISBLANK(D29), "", IF(ISBLANK(I29), '⚙️ 全局核算参数 (Config)'!$B$13, I29))</f>
      </c>
      <c r="N29" s="49">
        <f>IF(ISBLANK(D29), "", ROUND(((D29 * (1 + M29) + L29) / '⚙️ 全局核算参数 (Config)'!$C$4), 2))</f>
      </c>
      <c r="O29" s="50">
        <f>IF(OR(ISBLANK(D29), NOT(AND(G29&gt;0, F29&gt;0))), "", INT(('⚙️ 全局核算参数 (Config)'!$B$32 / G29)) * F29)</f>
      </c>
      <c r="P29" s="50">
        <f>IF(OR(ISBLANK(D29), NOT(AND(G29&gt;0, F29&gt;0))), "", INT(('⚙️ 全局核算参数 (Config)'!$B$34 / G29)) * F29)</f>
      </c>
      <c r="Q29" s="51">
        <f>IF(ISBLANK(D29), "", IF(M29&lt;'⚙️ 全局核算参数 (Config)'!$B$14, "🚨 穿透红线", IF(M29&gt;=0.25, "💎 高毛利款", "✅ 利润健康")))</f>
      </c>
    </row>
    <row r="30" ht="24" customHeight="1" spans="1:17" x14ac:dyDescent="0.25">
      <c r="A30" s="39"/>
      <c r="B30" s="40"/>
      <c r="C30" s="41"/>
      <c r="D30" s="42"/>
      <c r="E30" s="43"/>
      <c r="F30" s="43"/>
      <c r="G30" s="44"/>
      <c r="H30" s="45"/>
      <c r="I30" s="46"/>
      <c r="J30" s="39"/>
      <c r="K30" s="39"/>
      <c r="L30" s="47">
        <f>IF(ISBLANK(D30), "", '⚙️ 全局核算参数 (Config)'!$C$21)</f>
      </c>
      <c r="M30" s="48">
        <f>IF(ISBLANK(D30), "", IF(ISBLANK(I30), '⚙️ 全局核算参数 (Config)'!$B$13, I30))</f>
      </c>
      <c r="N30" s="49">
        <f>IF(ISBLANK(D30), "", ROUND(((D30 * (1 + M30) + L30) / '⚙️ 全局核算参数 (Config)'!$C$4), 2))</f>
      </c>
      <c r="O30" s="50">
        <f>IF(OR(ISBLANK(D30), NOT(AND(G30&gt;0, F30&gt;0))), "", INT(('⚙️ 全局核算参数 (Config)'!$B$32 / G30)) * F30)</f>
      </c>
      <c r="P30" s="50">
        <f>IF(OR(ISBLANK(D30), NOT(AND(G30&gt;0, F30&gt;0))), "", INT(('⚙️ 全局核算参数 (Config)'!$B$34 / G30)) * F30)</f>
      </c>
      <c r="Q30" s="51">
        <f>IF(ISBLANK(D30), "", IF(M30&lt;'⚙️ 全局核算参数 (Config)'!$B$14, "🚨 穿透红线", IF(M30&gt;=0.25, "💎 高毛利款", "✅ 利润健康")))</f>
      </c>
    </row>
    <row r="31" ht="24" customHeight="1" spans="1:17" x14ac:dyDescent="0.25">
      <c r="A31" s="52"/>
      <c r="B31" s="53"/>
      <c r="C31" s="54"/>
      <c r="D31" s="55"/>
      <c r="E31" s="56"/>
      <c r="F31" s="56"/>
      <c r="G31" s="57"/>
      <c r="H31" s="58"/>
      <c r="I31" s="59"/>
      <c r="J31" s="52"/>
      <c r="K31" s="52"/>
      <c r="L31" s="47">
        <f>IF(ISBLANK(D31), "", '⚙️ 全局核算参数 (Config)'!$C$21)</f>
      </c>
      <c r="M31" s="48">
        <f>IF(ISBLANK(D31), "", IF(ISBLANK(I31), '⚙️ 全局核算参数 (Config)'!$B$13, I31))</f>
      </c>
      <c r="N31" s="49">
        <f>IF(ISBLANK(D31), "", ROUND(((D31 * (1 + M31) + L31) / '⚙️ 全局核算参数 (Config)'!$C$4), 2))</f>
      </c>
      <c r="O31" s="50">
        <f>IF(OR(ISBLANK(D31), NOT(AND(G31&gt;0, F31&gt;0))), "", INT(('⚙️ 全局核算参数 (Config)'!$B$32 / G31)) * F31)</f>
      </c>
      <c r="P31" s="50">
        <f>IF(OR(ISBLANK(D31), NOT(AND(G31&gt;0, F31&gt;0))), "", INT(('⚙️ 全局核算参数 (Config)'!$B$34 / G31)) * F31)</f>
      </c>
      <c r="Q31" s="51">
        <f>IF(ISBLANK(D31), "", IF(M31&lt;'⚙️ 全局核算参数 (Config)'!$B$14, "🚨 穿透红线", IF(M31&gt;=0.25, "💎 高毛利款", "✅ 利润健康")))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3"/>
  <sheetViews>
    <sheetView workbookViewId="0">
      <pane xSplit="2" ySplit="3" topLeftCell="C4" activePane="bottomRight" state="frozen"/>
      <selection pane="bottomRight" activeCell="C4" sqref="C4"/>
    </sheetView>
  </sheetViews>
  <sheetFormatPr defaultRowHeight="15" outlineLevelRow="0" outlineLevelCol="0" x14ac:dyDescent="55"/>
  <cols>
    <col min="1" max="1" width="8" customWidth="1"/>
    <col min="2" max="2" width="18" customWidth="1"/>
    <col min="3" max="3" width="62" customWidth="1"/>
    <col min="4" max="4" width="13" customWidth="1"/>
    <col min="5" max="5" width="18" customWidth="1"/>
    <col min="6" max="6" width="20" customWidth="1"/>
    <col min="7" max="8" width="18" customWidth="1"/>
    <col min="9" max="9" width="16" customWidth="1"/>
  </cols>
  <sheetData>
    <row r="1" ht="36" customHeight="1" spans="1:9" x14ac:dyDescent="0.25">
      <c r="A1" s="60" t="s">
        <v>150</v>
      </c>
      <c r="B1" s="60"/>
      <c r="C1" s="61" t="s">
        <v>151</v>
      </c>
      <c r="D1" s="61"/>
      <c r="E1" s="61"/>
      <c r="F1" s="61"/>
      <c r="G1" s="61"/>
      <c r="H1" s="61"/>
      <c r="I1" s="61"/>
    </row>
    <row r="2" ht="24" customHeight="1" spans="1:9" x14ac:dyDescent="0.25">
      <c r="A2" s="62" t="str">
        <f>"Trade Term: FOB · " &amp; '⚙️ 全局核算参数 (Config)'!$B$4 &amp; " (" &amp; '⚙️ 全局核算参数 (Config)'!$D$4 &amp; ")"</f>
        <v>Trade Term: FOB · USD ($)</v>
      </c>
      <c r="B2" s="62"/>
      <c r="C2" s="63" t="str">
        <f>"Payment: 30% T/T Deposit, 70% Balance Before Shipment  |  Price Validity: " &amp; '⚙️ 全局核算参数 (Config)'!$B$16</f>
        <v>Payment: 30% T/T Deposit, 70% Balance Before Shipment  |  Price Validity: 30 Days</v>
      </c>
      <c r="D2" s="63"/>
      <c r="E2" s="63"/>
      <c r="F2" s="63"/>
      <c r="G2" s="63"/>
      <c r="H2" s="63"/>
      <c r="I2" s="63"/>
    </row>
    <row r="3" ht="26" customHeight="1" spans="1:9" x14ac:dyDescent="0.25">
      <c r="A3" s="64" t="s">
        <v>152</v>
      </c>
      <c r="B3" s="64" t="s">
        <v>153</v>
      </c>
      <c r="C3" s="64" t="s">
        <v>154</v>
      </c>
      <c r="D3" s="64" t="s">
        <v>155</v>
      </c>
      <c r="E3" s="64" t="str">
        <f>"FOB Price (" &amp; '⚙️ 全局核算参数 (Config)'!$B$4 &amp; ")"</f>
        <v>FOB Price (USD)</v>
      </c>
      <c r="F3" s="64" t="s">
        <v>156</v>
      </c>
      <c r="G3" s="64" t="s">
        <v>157</v>
      </c>
      <c r="H3" s="64" t="s">
        <v>158</v>
      </c>
      <c r="I3" s="64" t="s">
        <v>159</v>
      </c>
    </row>
    <row r="4" ht="30" customHeight="1" spans="1:9" x14ac:dyDescent="0.25">
      <c r="A4" s="65">
        <f>IF(ISBLANK('📦 商品出厂底价库 (Products)'!A2), "", 1)</f>
      </c>
      <c r="B4" s="65">
        <f>IF(ISBLANK('📦 商品出厂底价库 (Products)'!A2), "", '📦 商品出厂底价库 (Products)'!A2)</f>
      </c>
      <c r="C4" s="66">
        <f>IF(ISBLANK('📦 商品出厂底价库 (Products)'!A2), "", '📦 商品出厂底价库 (Products)'!C2)</f>
      </c>
      <c r="D4" s="67">
        <f>IF(ISBLANK('📦 商品出厂底价库 (Products)'!A2), "", '📦 商品出厂底价库 (Products)'!E2)</f>
      </c>
      <c r="E4" s="68">
        <f>IF(ISBLANK('📦 商品出厂底价库 (Products)'!A2), "", '📦 商品出厂底价库 (Products)'!N2)</f>
      </c>
      <c r="F4" s="67">
        <f>IF(ISBLANK('📦 商品出厂底价库 (Products)'!A2), "", '📦 商品出厂底价库 (Products)'!F2)</f>
      </c>
      <c r="G4" s="67">
        <f>IF(ISBLANK('📦 商品出厂底价库 (Products)'!A2), "", '📦 商品出厂底价库 (Products)'!O2)</f>
      </c>
      <c r="H4" s="67">
        <f>IF(ISBLANK('📦 商品出厂底价库 (Products)'!A2), "", '📦 商品出厂底价库 (Products)'!P2)</f>
      </c>
      <c r="I4" s="65">
        <f>IF(ISBLANK('📦 商品出厂底价库 (Products)'!A2), "", '📦 商品出厂底价库 (Products)'!J2)</f>
      </c>
    </row>
    <row r="5" ht="30" customHeight="1" spans="1:9" x14ac:dyDescent="0.25">
      <c r="A5" s="69">
        <f>IF(ISBLANK('📦 商品出厂底价库 (Products)'!A3), "", 2)</f>
      </c>
      <c r="B5" s="69">
        <f>IF(ISBLANK('📦 商品出厂底价库 (Products)'!A3), "", '📦 商品出厂底价库 (Products)'!A3)</f>
      </c>
      <c r="C5" s="70">
        <f>IF(ISBLANK('📦 商品出厂底价库 (Products)'!A3), "", '📦 商品出厂底价库 (Products)'!C3)</f>
      </c>
      <c r="D5" s="71">
        <f>IF(ISBLANK('📦 商品出厂底价库 (Products)'!A3), "", '📦 商品出厂底价库 (Products)'!E3)</f>
      </c>
      <c r="E5" s="72">
        <f>IF(ISBLANK('📦 商品出厂底价库 (Products)'!A3), "", '📦 商品出厂底价库 (Products)'!N3)</f>
      </c>
      <c r="F5" s="71">
        <f>IF(ISBLANK('📦 商品出厂底价库 (Products)'!A3), "", '📦 商品出厂底价库 (Products)'!F3)</f>
      </c>
      <c r="G5" s="71">
        <f>IF(ISBLANK('📦 商品出厂底价库 (Products)'!A3), "", '📦 商品出厂底价库 (Products)'!O3)</f>
      </c>
      <c r="H5" s="71">
        <f>IF(ISBLANK('📦 商品出厂底价库 (Products)'!A3), "", '📦 商品出厂底价库 (Products)'!P3)</f>
      </c>
      <c r="I5" s="69">
        <f>IF(ISBLANK('📦 商品出厂底价库 (Products)'!A3), "", '📦 商品出厂底价库 (Products)'!J3)</f>
      </c>
    </row>
    <row r="6" ht="30" customHeight="1" spans="1:9" x14ac:dyDescent="0.25">
      <c r="A6" s="65">
        <f>IF(ISBLANK('📦 商品出厂底价库 (Products)'!A4), "", 3)</f>
      </c>
      <c r="B6" s="65">
        <f>IF(ISBLANK('📦 商品出厂底价库 (Products)'!A4), "", '📦 商品出厂底价库 (Products)'!A4)</f>
      </c>
      <c r="C6" s="66">
        <f>IF(ISBLANK('📦 商品出厂底价库 (Products)'!A4), "", '📦 商品出厂底价库 (Products)'!C4)</f>
      </c>
      <c r="D6" s="67">
        <f>IF(ISBLANK('📦 商品出厂底价库 (Products)'!A4), "", '📦 商品出厂底价库 (Products)'!E4)</f>
      </c>
      <c r="E6" s="68">
        <f>IF(ISBLANK('📦 商品出厂底价库 (Products)'!A4), "", '📦 商品出厂底价库 (Products)'!N4)</f>
      </c>
      <c r="F6" s="67">
        <f>IF(ISBLANK('📦 商品出厂底价库 (Products)'!A4), "", '📦 商品出厂底价库 (Products)'!F4)</f>
      </c>
      <c r="G6" s="67">
        <f>IF(ISBLANK('📦 商品出厂底价库 (Products)'!A4), "", '📦 商品出厂底价库 (Products)'!O4)</f>
      </c>
      <c r="H6" s="67">
        <f>IF(ISBLANK('📦 商品出厂底价库 (Products)'!A4), "", '📦 商品出厂底价库 (Products)'!P4)</f>
      </c>
      <c r="I6" s="65">
        <f>IF(ISBLANK('📦 商品出厂底价库 (Products)'!A4), "", '📦 商品出厂底价库 (Products)'!J4)</f>
      </c>
    </row>
    <row r="7" ht="30" customHeight="1" spans="1:9" x14ac:dyDescent="0.25">
      <c r="A7" s="69">
        <f>IF(ISBLANK('📦 商品出厂底价库 (Products)'!A5), "", 4)</f>
      </c>
      <c r="B7" s="69">
        <f>IF(ISBLANK('📦 商品出厂底价库 (Products)'!A5), "", '📦 商品出厂底价库 (Products)'!A5)</f>
      </c>
      <c r="C7" s="70">
        <f>IF(ISBLANK('📦 商品出厂底价库 (Products)'!A5), "", '📦 商品出厂底价库 (Products)'!C5)</f>
      </c>
      <c r="D7" s="71">
        <f>IF(ISBLANK('📦 商品出厂底价库 (Products)'!A5), "", '📦 商品出厂底价库 (Products)'!E5)</f>
      </c>
      <c r="E7" s="72">
        <f>IF(ISBLANK('📦 商品出厂底价库 (Products)'!A5), "", '📦 商品出厂底价库 (Products)'!N5)</f>
      </c>
      <c r="F7" s="71">
        <f>IF(ISBLANK('📦 商品出厂底价库 (Products)'!A5), "", '📦 商品出厂底价库 (Products)'!F5)</f>
      </c>
      <c r="G7" s="71">
        <f>IF(ISBLANK('📦 商品出厂底价库 (Products)'!A5), "", '📦 商品出厂底价库 (Products)'!O5)</f>
      </c>
      <c r="H7" s="71">
        <f>IF(ISBLANK('📦 商品出厂底价库 (Products)'!A5), "", '📦 商品出厂底价库 (Products)'!P5)</f>
      </c>
      <c r="I7" s="69">
        <f>IF(ISBLANK('📦 商品出厂底价库 (Products)'!A5), "", '📦 商品出厂底价库 (Products)'!J5)</f>
      </c>
    </row>
    <row r="8" ht="30" customHeight="1" spans="1:9" x14ac:dyDescent="0.25">
      <c r="A8" s="65">
        <f>IF(ISBLANK('📦 商品出厂底价库 (Products)'!A6), "", 5)</f>
      </c>
      <c r="B8" s="65">
        <f>IF(ISBLANK('📦 商品出厂底价库 (Products)'!A6), "", '📦 商品出厂底价库 (Products)'!A6)</f>
      </c>
      <c r="C8" s="66">
        <f>IF(ISBLANK('📦 商品出厂底价库 (Products)'!A6), "", '📦 商品出厂底价库 (Products)'!C6)</f>
      </c>
      <c r="D8" s="67">
        <f>IF(ISBLANK('📦 商品出厂底价库 (Products)'!A6), "", '📦 商品出厂底价库 (Products)'!E6)</f>
      </c>
      <c r="E8" s="68">
        <f>IF(ISBLANK('📦 商品出厂底价库 (Products)'!A6), "", '📦 商品出厂底价库 (Products)'!N6)</f>
      </c>
      <c r="F8" s="67">
        <f>IF(ISBLANK('📦 商品出厂底价库 (Products)'!A6), "", '📦 商品出厂底价库 (Products)'!F6)</f>
      </c>
      <c r="G8" s="67">
        <f>IF(ISBLANK('📦 商品出厂底价库 (Products)'!A6), "", '📦 商品出厂底价库 (Products)'!O6)</f>
      </c>
      <c r="H8" s="67">
        <f>IF(ISBLANK('📦 商品出厂底价库 (Products)'!A6), "", '📦 商品出厂底价库 (Products)'!P6)</f>
      </c>
      <c r="I8" s="65">
        <f>IF(ISBLANK('📦 商品出厂底价库 (Products)'!A6), "", '📦 商品出厂底价库 (Products)'!J6)</f>
      </c>
    </row>
    <row r="9" ht="30" customHeight="1" spans="1:9" x14ac:dyDescent="0.25">
      <c r="A9" s="69">
        <f>IF(ISBLANK('📦 商品出厂底价库 (Products)'!A7), "", 6)</f>
      </c>
      <c r="B9" s="69">
        <f>IF(ISBLANK('📦 商品出厂底价库 (Products)'!A7), "", '📦 商品出厂底价库 (Products)'!A7)</f>
      </c>
      <c r="C9" s="70">
        <f>IF(ISBLANK('📦 商品出厂底价库 (Products)'!A7), "", '📦 商品出厂底价库 (Products)'!C7)</f>
      </c>
      <c r="D9" s="71">
        <f>IF(ISBLANK('📦 商品出厂底价库 (Products)'!A7), "", '📦 商品出厂底价库 (Products)'!E7)</f>
      </c>
      <c r="E9" s="72">
        <f>IF(ISBLANK('📦 商品出厂底价库 (Products)'!A7), "", '📦 商品出厂底价库 (Products)'!N7)</f>
      </c>
      <c r="F9" s="71">
        <f>IF(ISBLANK('📦 商品出厂底价库 (Products)'!A7), "", '📦 商品出厂底价库 (Products)'!F7)</f>
      </c>
      <c r="G9" s="71">
        <f>IF(ISBLANK('📦 商品出厂底价库 (Products)'!A7), "", '📦 商品出厂底价库 (Products)'!O7)</f>
      </c>
      <c r="H9" s="71">
        <f>IF(ISBLANK('📦 商品出厂底价库 (Products)'!A7), "", '📦 商品出厂底价库 (Products)'!P7)</f>
      </c>
      <c r="I9" s="69">
        <f>IF(ISBLANK('📦 商品出厂底价库 (Products)'!A7), "", '📦 商品出厂底价库 (Products)'!J7)</f>
      </c>
    </row>
    <row r="10" ht="26" customHeight="1" spans="1:9" x14ac:dyDescent="0.25">
      <c r="A10" s="65">
        <f>IF(ISBLANK('📦 商品出厂底价库 (Products)'!A8), "", 7)</f>
      </c>
      <c r="B10" s="65">
        <f>IF(ISBLANK('📦 商品出厂底价库 (Products)'!A8), "", '📦 商品出厂底价库 (Products)'!A8)</f>
      </c>
      <c r="C10" s="66">
        <f>IF(ISBLANK('📦 商品出厂底价库 (Products)'!A8), "", '📦 商品出厂底价库 (Products)'!C8)</f>
      </c>
      <c r="D10" s="67">
        <f>IF(ISBLANK('📦 商品出厂底价库 (Products)'!A8), "", '📦 商品出厂底价库 (Products)'!E8)</f>
      </c>
      <c r="E10" s="68">
        <f>IF(ISBLANK('📦 商品出厂底价库 (Products)'!A8), "", '📦 商品出厂底价库 (Products)'!N8)</f>
      </c>
      <c r="F10" s="67">
        <f>IF(ISBLANK('📦 商品出厂底价库 (Products)'!A8), "", '📦 商品出厂底价库 (Products)'!F8)</f>
      </c>
      <c r="G10" s="67">
        <f>IF(ISBLANK('📦 商品出厂底价库 (Products)'!A8), "", '📦 商品出厂底价库 (Products)'!O8)</f>
      </c>
      <c r="H10" s="67">
        <f>IF(ISBLANK('📦 商品出厂底价库 (Products)'!A8), "", '📦 商品出厂底价库 (Products)'!P8)</f>
      </c>
      <c r="I10" s="65">
        <f>IF(ISBLANK('📦 商品出厂底价库 (Products)'!A8), "", '📦 商品出厂底价库 (Products)'!J8)</f>
      </c>
    </row>
    <row r="11" ht="26" customHeight="1" spans="1:9" x14ac:dyDescent="0.25">
      <c r="A11" s="69">
        <f>IF(ISBLANK('📦 商品出厂底价库 (Products)'!A9), "", 8)</f>
      </c>
      <c r="B11" s="69">
        <f>IF(ISBLANK('📦 商品出厂底价库 (Products)'!A9), "", '📦 商品出厂底价库 (Products)'!A9)</f>
      </c>
      <c r="C11" s="70">
        <f>IF(ISBLANK('📦 商品出厂底价库 (Products)'!A9), "", '📦 商品出厂底价库 (Products)'!C9)</f>
      </c>
      <c r="D11" s="71">
        <f>IF(ISBLANK('📦 商品出厂底价库 (Products)'!A9), "", '📦 商品出厂底价库 (Products)'!E9)</f>
      </c>
      <c r="E11" s="72">
        <f>IF(ISBLANK('📦 商品出厂底价库 (Products)'!A9), "", '📦 商品出厂底价库 (Products)'!N9)</f>
      </c>
      <c r="F11" s="71">
        <f>IF(ISBLANK('📦 商品出厂底价库 (Products)'!A9), "", '📦 商品出厂底价库 (Products)'!F9)</f>
      </c>
      <c r="G11" s="71">
        <f>IF(ISBLANK('📦 商品出厂底价库 (Products)'!A9), "", '📦 商品出厂底价库 (Products)'!O9)</f>
      </c>
      <c r="H11" s="71">
        <f>IF(ISBLANK('📦 商品出厂底价库 (Products)'!A9), "", '📦 商品出厂底价库 (Products)'!P9)</f>
      </c>
      <c r="I11" s="69">
        <f>IF(ISBLANK('📦 商品出厂底价库 (Products)'!A9), "", '📦 商品出厂底价库 (Products)'!J9)</f>
      </c>
    </row>
    <row r="12" ht="26" customHeight="1" spans="1:9" x14ac:dyDescent="0.25">
      <c r="A12" s="65">
        <f>IF(ISBLANK('📦 商品出厂底价库 (Products)'!A10), "", 9)</f>
      </c>
      <c r="B12" s="65">
        <f>IF(ISBLANK('📦 商品出厂底价库 (Products)'!A10), "", '📦 商品出厂底价库 (Products)'!A10)</f>
      </c>
      <c r="C12" s="66">
        <f>IF(ISBLANK('📦 商品出厂底价库 (Products)'!A10), "", '📦 商品出厂底价库 (Products)'!C10)</f>
      </c>
      <c r="D12" s="67">
        <f>IF(ISBLANK('📦 商品出厂底价库 (Products)'!A10), "", '📦 商品出厂底价库 (Products)'!E10)</f>
      </c>
      <c r="E12" s="68">
        <f>IF(ISBLANK('📦 商品出厂底价库 (Products)'!A10), "", '📦 商品出厂底价库 (Products)'!N10)</f>
      </c>
      <c r="F12" s="67">
        <f>IF(ISBLANK('📦 商品出厂底价库 (Products)'!A10), "", '📦 商品出厂底价库 (Products)'!F10)</f>
      </c>
      <c r="G12" s="67">
        <f>IF(ISBLANK('📦 商品出厂底价库 (Products)'!A10), "", '📦 商品出厂底价库 (Products)'!O10)</f>
      </c>
      <c r="H12" s="67">
        <f>IF(ISBLANK('📦 商品出厂底价库 (Products)'!A10), "", '📦 商品出厂底价库 (Products)'!P10)</f>
      </c>
      <c r="I12" s="65">
        <f>IF(ISBLANK('📦 商品出厂底价库 (Products)'!A10), "", '📦 商品出厂底价库 (Products)'!J10)</f>
      </c>
    </row>
    <row r="13" ht="26" customHeight="1" spans="1:9" x14ac:dyDescent="0.25">
      <c r="A13" s="69">
        <f>IF(ISBLANK('📦 商品出厂底价库 (Products)'!A11), "", 10)</f>
      </c>
      <c r="B13" s="69">
        <f>IF(ISBLANK('📦 商品出厂底价库 (Products)'!A11), "", '📦 商品出厂底价库 (Products)'!A11)</f>
      </c>
      <c r="C13" s="70">
        <f>IF(ISBLANK('📦 商品出厂底价库 (Products)'!A11), "", '📦 商品出厂底价库 (Products)'!C11)</f>
      </c>
      <c r="D13" s="71">
        <f>IF(ISBLANK('📦 商品出厂底价库 (Products)'!A11), "", '📦 商品出厂底价库 (Products)'!E11)</f>
      </c>
      <c r="E13" s="72">
        <f>IF(ISBLANK('📦 商品出厂底价库 (Products)'!A11), "", '📦 商品出厂底价库 (Products)'!N11)</f>
      </c>
      <c r="F13" s="71">
        <f>IF(ISBLANK('📦 商品出厂底价库 (Products)'!A11), "", '📦 商品出厂底价库 (Products)'!F11)</f>
      </c>
      <c r="G13" s="71">
        <f>IF(ISBLANK('📦 商品出厂底价库 (Products)'!A11), "", '📦 商品出厂底价库 (Products)'!O11)</f>
      </c>
      <c r="H13" s="71">
        <f>IF(ISBLANK('📦 商品出厂底价库 (Products)'!A11), "", '📦 商品出厂底价库 (Products)'!P11)</f>
      </c>
      <c r="I13" s="69">
        <f>IF(ISBLANK('📦 商品出厂底价库 (Products)'!A11), "", '📦 商品出厂底价库 (Products)'!J11)</f>
      </c>
    </row>
    <row r="14" ht="26" customHeight="1" spans="1:9" x14ac:dyDescent="0.25">
      <c r="A14" s="65">
        <f>IF(ISBLANK('📦 商品出厂底价库 (Products)'!A12), "", 11)</f>
      </c>
      <c r="B14" s="65">
        <f>IF(ISBLANK('📦 商品出厂底价库 (Products)'!A12), "", '📦 商品出厂底价库 (Products)'!A12)</f>
      </c>
      <c r="C14" s="66">
        <f>IF(ISBLANK('📦 商品出厂底价库 (Products)'!A12), "", '📦 商品出厂底价库 (Products)'!C12)</f>
      </c>
      <c r="D14" s="67">
        <f>IF(ISBLANK('📦 商品出厂底价库 (Products)'!A12), "", '📦 商品出厂底价库 (Products)'!E12)</f>
      </c>
      <c r="E14" s="68">
        <f>IF(ISBLANK('📦 商品出厂底价库 (Products)'!A12), "", '📦 商品出厂底价库 (Products)'!N12)</f>
      </c>
      <c r="F14" s="67">
        <f>IF(ISBLANK('📦 商品出厂底价库 (Products)'!A12), "", '📦 商品出厂底价库 (Products)'!F12)</f>
      </c>
      <c r="G14" s="67">
        <f>IF(ISBLANK('📦 商品出厂底价库 (Products)'!A12), "", '📦 商品出厂底价库 (Products)'!O12)</f>
      </c>
      <c r="H14" s="67">
        <f>IF(ISBLANK('📦 商品出厂底价库 (Products)'!A12), "", '📦 商品出厂底价库 (Products)'!P12)</f>
      </c>
      <c r="I14" s="65">
        <f>IF(ISBLANK('📦 商品出厂底价库 (Products)'!A12), "", '📦 商品出厂底价库 (Products)'!J12)</f>
      </c>
    </row>
    <row r="15" ht="26" customHeight="1" spans="1:9" x14ac:dyDescent="0.25">
      <c r="A15" s="69">
        <f>IF(ISBLANK('📦 商品出厂底价库 (Products)'!A13), "", 12)</f>
      </c>
      <c r="B15" s="69">
        <f>IF(ISBLANK('📦 商品出厂底价库 (Products)'!A13), "", '📦 商品出厂底价库 (Products)'!A13)</f>
      </c>
      <c r="C15" s="70">
        <f>IF(ISBLANK('📦 商品出厂底价库 (Products)'!A13), "", '📦 商品出厂底价库 (Products)'!C13)</f>
      </c>
      <c r="D15" s="71">
        <f>IF(ISBLANK('📦 商品出厂底价库 (Products)'!A13), "", '📦 商品出厂底价库 (Products)'!E13)</f>
      </c>
      <c r="E15" s="72">
        <f>IF(ISBLANK('📦 商品出厂底价库 (Products)'!A13), "", '📦 商品出厂底价库 (Products)'!N13)</f>
      </c>
      <c r="F15" s="71">
        <f>IF(ISBLANK('📦 商品出厂底价库 (Products)'!A13), "", '📦 商品出厂底价库 (Products)'!F13)</f>
      </c>
      <c r="G15" s="71">
        <f>IF(ISBLANK('📦 商品出厂底价库 (Products)'!A13), "", '📦 商品出厂底价库 (Products)'!O13)</f>
      </c>
      <c r="H15" s="71">
        <f>IF(ISBLANK('📦 商品出厂底价库 (Products)'!A13), "", '📦 商品出厂底价库 (Products)'!P13)</f>
      </c>
      <c r="I15" s="69">
        <f>IF(ISBLANK('📦 商品出厂底价库 (Products)'!A13), "", '📦 商品出厂底价库 (Products)'!J13)</f>
      </c>
    </row>
    <row r="16" ht="26" customHeight="1" spans="1:9" x14ac:dyDescent="0.25">
      <c r="A16" s="65">
        <f>IF(ISBLANK('📦 商品出厂底价库 (Products)'!A14), "", 13)</f>
      </c>
      <c r="B16" s="65">
        <f>IF(ISBLANK('📦 商品出厂底价库 (Products)'!A14), "", '📦 商品出厂底价库 (Products)'!A14)</f>
      </c>
      <c r="C16" s="66">
        <f>IF(ISBLANK('📦 商品出厂底价库 (Products)'!A14), "", '📦 商品出厂底价库 (Products)'!C14)</f>
      </c>
      <c r="D16" s="67">
        <f>IF(ISBLANK('📦 商品出厂底价库 (Products)'!A14), "", '📦 商品出厂底价库 (Products)'!E14)</f>
      </c>
      <c r="E16" s="68">
        <f>IF(ISBLANK('📦 商品出厂底价库 (Products)'!A14), "", '📦 商品出厂底价库 (Products)'!N14)</f>
      </c>
      <c r="F16" s="67">
        <f>IF(ISBLANK('📦 商品出厂底价库 (Products)'!A14), "", '📦 商品出厂底价库 (Products)'!F14)</f>
      </c>
      <c r="G16" s="67">
        <f>IF(ISBLANK('📦 商品出厂底价库 (Products)'!A14), "", '📦 商品出厂底价库 (Products)'!O14)</f>
      </c>
      <c r="H16" s="67">
        <f>IF(ISBLANK('📦 商品出厂底价库 (Products)'!A14), "", '📦 商品出厂底价库 (Products)'!P14)</f>
      </c>
      <c r="I16" s="65">
        <f>IF(ISBLANK('📦 商品出厂底价库 (Products)'!A14), "", '📦 商品出厂底价库 (Products)'!J14)</f>
      </c>
    </row>
    <row r="17" ht="26" customHeight="1" spans="1:9" x14ac:dyDescent="0.25">
      <c r="A17" s="69">
        <f>IF(ISBLANK('📦 商品出厂底价库 (Products)'!A15), "", 14)</f>
      </c>
      <c r="B17" s="69">
        <f>IF(ISBLANK('📦 商品出厂底价库 (Products)'!A15), "", '📦 商品出厂底价库 (Products)'!A15)</f>
      </c>
      <c r="C17" s="70">
        <f>IF(ISBLANK('📦 商品出厂底价库 (Products)'!A15), "", '📦 商品出厂底价库 (Products)'!C15)</f>
      </c>
      <c r="D17" s="71">
        <f>IF(ISBLANK('📦 商品出厂底价库 (Products)'!A15), "", '📦 商品出厂底价库 (Products)'!E15)</f>
      </c>
      <c r="E17" s="72">
        <f>IF(ISBLANK('📦 商品出厂底价库 (Products)'!A15), "", '📦 商品出厂底价库 (Products)'!N15)</f>
      </c>
      <c r="F17" s="71">
        <f>IF(ISBLANK('📦 商品出厂底价库 (Products)'!A15), "", '📦 商品出厂底价库 (Products)'!F15)</f>
      </c>
      <c r="G17" s="71">
        <f>IF(ISBLANK('📦 商品出厂底价库 (Products)'!A15), "", '📦 商品出厂底价库 (Products)'!O15)</f>
      </c>
      <c r="H17" s="71">
        <f>IF(ISBLANK('📦 商品出厂底价库 (Products)'!A15), "", '📦 商品出厂底价库 (Products)'!P15)</f>
      </c>
      <c r="I17" s="69">
        <f>IF(ISBLANK('📦 商品出厂底价库 (Products)'!A15), "", '📦 商品出厂底价库 (Products)'!J15)</f>
      </c>
    </row>
    <row r="18" ht="26" customHeight="1" spans="1:9" x14ac:dyDescent="0.25">
      <c r="A18" s="65">
        <f>IF(ISBLANK('📦 商品出厂底价库 (Products)'!A16), "", 15)</f>
      </c>
      <c r="B18" s="65">
        <f>IF(ISBLANK('📦 商品出厂底价库 (Products)'!A16), "", '📦 商品出厂底价库 (Products)'!A16)</f>
      </c>
      <c r="C18" s="66">
        <f>IF(ISBLANK('📦 商品出厂底价库 (Products)'!A16), "", '📦 商品出厂底价库 (Products)'!C16)</f>
      </c>
      <c r="D18" s="67">
        <f>IF(ISBLANK('📦 商品出厂底价库 (Products)'!A16), "", '📦 商品出厂底价库 (Products)'!E16)</f>
      </c>
      <c r="E18" s="68">
        <f>IF(ISBLANK('📦 商品出厂底价库 (Products)'!A16), "", '📦 商品出厂底价库 (Products)'!N16)</f>
      </c>
      <c r="F18" s="67">
        <f>IF(ISBLANK('📦 商品出厂底价库 (Products)'!A16), "", '📦 商品出厂底价库 (Products)'!F16)</f>
      </c>
      <c r="G18" s="67">
        <f>IF(ISBLANK('📦 商品出厂底价库 (Products)'!A16), "", '📦 商品出厂底价库 (Products)'!O16)</f>
      </c>
      <c r="H18" s="67">
        <f>IF(ISBLANK('📦 商品出厂底价库 (Products)'!A16), "", '📦 商品出厂底价库 (Products)'!P16)</f>
      </c>
      <c r="I18" s="65">
        <f>IF(ISBLANK('📦 商品出厂底价库 (Products)'!A16), "", '📦 商品出厂底价库 (Products)'!J16)</f>
      </c>
    </row>
    <row r="19" ht="26" customHeight="1" spans="1:9" x14ac:dyDescent="0.25">
      <c r="A19" s="69">
        <f>IF(ISBLANK('📦 商品出厂底价库 (Products)'!A17), "", 16)</f>
      </c>
      <c r="B19" s="69">
        <f>IF(ISBLANK('📦 商品出厂底价库 (Products)'!A17), "", '📦 商品出厂底价库 (Products)'!A17)</f>
      </c>
      <c r="C19" s="70">
        <f>IF(ISBLANK('📦 商品出厂底价库 (Products)'!A17), "", '📦 商品出厂底价库 (Products)'!C17)</f>
      </c>
      <c r="D19" s="71">
        <f>IF(ISBLANK('📦 商品出厂底价库 (Products)'!A17), "", '📦 商品出厂底价库 (Products)'!E17)</f>
      </c>
      <c r="E19" s="72">
        <f>IF(ISBLANK('📦 商品出厂底价库 (Products)'!A17), "", '📦 商品出厂底价库 (Products)'!N17)</f>
      </c>
      <c r="F19" s="71">
        <f>IF(ISBLANK('📦 商品出厂底价库 (Products)'!A17), "", '📦 商品出厂底价库 (Products)'!F17)</f>
      </c>
      <c r="G19" s="71">
        <f>IF(ISBLANK('📦 商品出厂底价库 (Products)'!A17), "", '📦 商品出厂底价库 (Products)'!O17)</f>
      </c>
      <c r="H19" s="71">
        <f>IF(ISBLANK('📦 商品出厂底价库 (Products)'!A17), "", '📦 商品出厂底价库 (Products)'!P17)</f>
      </c>
      <c r="I19" s="69">
        <f>IF(ISBLANK('📦 商品出厂底价库 (Products)'!A17), "", '📦 商品出厂底价库 (Products)'!J17)</f>
      </c>
    </row>
    <row r="20" ht="26" customHeight="1" spans="1:9" x14ac:dyDescent="0.25">
      <c r="A20" s="65">
        <f>IF(ISBLANK('📦 商品出厂底价库 (Products)'!A18), "", 17)</f>
      </c>
      <c r="B20" s="65">
        <f>IF(ISBLANK('📦 商品出厂底价库 (Products)'!A18), "", '📦 商品出厂底价库 (Products)'!A18)</f>
      </c>
      <c r="C20" s="66">
        <f>IF(ISBLANK('📦 商品出厂底价库 (Products)'!A18), "", '📦 商品出厂底价库 (Products)'!C18)</f>
      </c>
      <c r="D20" s="67">
        <f>IF(ISBLANK('📦 商品出厂底价库 (Products)'!A18), "", '📦 商品出厂底价库 (Products)'!E18)</f>
      </c>
      <c r="E20" s="68">
        <f>IF(ISBLANK('📦 商品出厂底价库 (Products)'!A18), "", '📦 商品出厂底价库 (Products)'!N18)</f>
      </c>
      <c r="F20" s="67">
        <f>IF(ISBLANK('📦 商品出厂底价库 (Products)'!A18), "", '📦 商品出厂底价库 (Products)'!F18)</f>
      </c>
      <c r="G20" s="67">
        <f>IF(ISBLANK('📦 商品出厂底价库 (Products)'!A18), "", '📦 商品出厂底价库 (Products)'!O18)</f>
      </c>
      <c r="H20" s="67">
        <f>IF(ISBLANK('📦 商品出厂底价库 (Products)'!A18), "", '📦 商品出厂底价库 (Products)'!P18)</f>
      </c>
      <c r="I20" s="65">
        <f>IF(ISBLANK('📦 商品出厂底价库 (Products)'!A18), "", '📦 商品出厂底价库 (Products)'!J18)</f>
      </c>
    </row>
    <row r="21" ht="26" customHeight="1" spans="1:9" x14ac:dyDescent="0.25">
      <c r="A21" s="69">
        <f>IF(ISBLANK('📦 商品出厂底价库 (Products)'!A19), "", 18)</f>
      </c>
      <c r="B21" s="69">
        <f>IF(ISBLANK('📦 商品出厂底价库 (Products)'!A19), "", '📦 商品出厂底价库 (Products)'!A19)</f>
      </c>
      <c r="C21" s="70">
        <f>IF(ISBLANK('📦 商品出厂底价库 (Products)'!A19), "", '📦 商品出厂底价库 (Products)'!C19)</f>
      </c>
      <c r="D21" s="71">
        <f>IF(ISBLANK('📦 商品出厂底价库 (Products)'!A19), "", '📦 商品出厂底价库 (Products)'!E19)</f>
      </c>
      <c r="E21" s="72">
        <f>IF(ISBLANK('📦 商品出厂底价库 (Products)'!A19), "", '📦 商品出厂底价库 (Products)'!N19)</f>
      </c>
      <c r="F21" s="71">
        <f>IF(ISBLANK('📦 商品出厂底价库 (Products)'!A19), "", '📦 商品出厂底价库 (Products)'!F19)</f>
      </c>
      <c r="G21" s="71">
        <f>IF(ISBLANK('📦 商品出厂底价库 (Products)'!A19), "", '📦 商品出厂底价库 (Products)'!O19)</f>
      </c>
      <c r="H21" s="71">
        <f>IF(ISBLANK('📦 商品出厂底价库 (Products)'!A19), "", '📦 商品出厂底价库 (Products)'!P19)</f>
      </c>
      <c r="I21" s="69">
        <f>IF(ISBLANK('📦 商品出厂底价库 (Products)'!A19), "", '📦 商品出厂底价库 (Products)'!J19)</f>
      </c>
    </row>
    <row r="22" ht="26" customHeight="1" spans="1:9" x14ac:dyDescent="0.25">
      <c r="A22" s="65">
        <f>IF(ISBLANK('📦 商品出厂底价库 (Products)'!A20), "", 19)</f>
      </c>
      <c r="B22" s="65">
        <f>IF(ISBLANK('📦 商品出厂底价库 (Products)'!A20), "", '📦 商品出厂底价库 (Products)'!A20)</f>
      </c>
      <c r="C22" s="66">
        <f>IF(ISBLANK('📦 商品出厂底价库 (Products)'!A20), "", '📦 商品出厂底价库 (Products)'!C20)</f>
      </c>
      <c r="D22" s="67">
        <f>IF(ISBLANK('📦 商品出厂底价库 (Products)'!A20), "", '📦 商品出厂底价库 (Products)'!E20)</f>
      </c>
      <c r="E22" s="68">
        <f>IF(ISBLANK('📦 商品出厂底价库 (Products)'!A20), "", '📦 商品出厂底价库 (Products)'!N20)</f>
      </c>
      <c r="F22" s="67">
        <f>IF(ISBLANK('📦 商品出厂底价库 (Products)'!A20), "", '📦 商品出厂底价库 (Products)'!F20)</f>
      </c>
      <c r="G22" s="67">
        <f>IF(ISBLANK('📦 商品出厂底价库 (Products)'!A20), "", '📦 商品出厂底价库 (Products)'!O20)</f>
      </c>
      <c r="H22" s="67">
        <f>IF(ISBLANK('📦 商品出厂底价库 (Products)'!A20), "", '📦 商品出厂底价库 (Products)'!P20)</f>
      </c>
      <c r="I22" s="65">
        <f>IF(ISBLANK('📦 商品出厂底价库 (Products)'!A20), "", '📦 商品出厂底价库 (Products)'!J20)</f>
      </c>
    </row>
    <row r="23" ht="26" customHeight="1" spans="1:9" x14ac:dyDescent="0.25">
      <c r="A23" s="69">
        <f>IF(ISBLANK('📦 商品出厂底价库 (Products)'!A21), "", 20)</f>
      </c>
      <c r="B23" s="69">
        <f>IF(ISBLANK('📦 商品出厂底价库 (Products)'!A21), "", '📦 商品出厂底价库 (Products)'!A21)</f>
      </c>
      <c r="C23" s="70">
        <f>IF(ISBLANK('📦 商品出厂底价库 (Products)'!A21), "", '📦 商品出厂底价库 (Products)'!C21)</f>
      </c>
      <c r="D23" s="71">
        <f>IF(ISBLANK('📦 商品出厂底价库 (Products)'!A21), "", '📦 商品出厂底价库 (Products)'!E21)</f>
      </c>
      <c r="E23" s="72">
        <f>IF(ISBLANK('📦 商品出厂底价库 (Products)'!A21), "", '📦 商品出厂底价库 (Products)'!N21)</f>
      </c>
      <c r="F23" s="71">
        <f>IF(ISBLANK('📦 商品出厂底价库 (Products)'!A21), "", '📦 商品出厂底价库 (Products)'!F21)</f>
      </c>
      <c r="G23" s="71">
        <f>IF(ISBLANK('📦 商品出厂底价库 (Products)'!A21), "", '📦 商品出厂底价库 (Products)'!O21)</f>
      </c>
      <c r="H23" s="71">
        <f>IF(ISBLANK('📦 商品出厂底价库 (Products)'!A21), "", '📦 商品出厂底价库 (Products)'!P21)</f>
      </c>
      <c r="I23" s="69">
        <f>IF(ISBLANK('📦 商品出厂底价库 (Products)'!A21), "", '📦 商品出厂底价库 (Products)'!J21)</f>
      </c>
    </row>
    <row r="24" ht="26" customHeight="1" spans="1:9" x14ac:dyDescent="0.25">
      <c r="A24" s="65">
        <f>IF(ISBLANK('📦 商品出厂底价库 (Products)'!A22), "", 21)</f>
      </c>
      <c r="B24" s="65">
        <f>IF(ISBLANK('📦 商品出厂底价库 (Products)'!A22), "", '📦 商品出厂底价库 (Products)'!A22)</f>
      </c>
      <c r="C24" s="66">
        <f>IF(ISBLANK('📦 商品出厂底价库 (Products)'!A22), "", '📦 商品出厂底价库 (Products)'!C22)</f>
      </c>
      <c r="D24" s="67">
        <f>IF(ISBLANK('📦 商品出厂底价库 (Products)'!A22), "", '📦 商品出厂底价库 (Products)'!E22)</f>
      </c>
      <c r="E24" s="68">
        <f>IF(ISBLANK('📦 商品出厂底价库 (Products)'!A22), "", '📦 商品出厂底价库 (Products)'!N22)</f>
      </c>
      <c r="F24" s="67">
        <f>IF(ISBLANK('📦 商品出厂底价库 (Products)'!A22), "", '📦 商品出厂底价库 (Products)'!F22)</f>
      </c>
      <c r="G24" s="67">
        <f>IF(ISBLANK('📦 商品出厂底价库 (Products)'!A22), "", '📦 商品出厂底价库 (Products)'!O22)</f>
      </c>
      <c r="H24" s="67">
        <f>IF(ISBLANK('📦 商品出厂底价库 (Products)'!A22), "", '📦 商品出厂底价库 (Products)'!P22)</f>
      </c>
      <c r="I24" s="65">
        <f>IF(ISBLANK('📦 商品出厂底价库 (Products)'!A22), "", '📦 商品出厂底价库 (Products)'!J22)</f>
      </c>
    </row>
    <row r="25" ht="26" customHeight="1" spans="1:9" x14ac:dyDescent="0.25">
      <c r="A25" s="69">
        <f>IF(ISBLANK('📦 商品出厂底价库 (Products)'!A23), "", 22)</f>
      </c>
      <c r="B25" s="69">
        <f>IF(ISBLANK('📦 商品出厂底价库 (Products)'!A23), "", '📦 商品出厂底价库 (Products)'!A23)</f>
      </c>
      <c r="C25" s="70">
        <f>IF(ISBLANK('📦 商品出厂底价库 (Products)'!A23), "", '📦 商品出厂底价库 (Products)'!C23)</f>
      </c>
      <c r="D25" s="71">
        <f>IF(ISBLANK('📦 商品出厂底价库 (Products)'!A23), "", '📦 商品出厂底价库 (Products)'!E23)</f>
      </c>
      <c r="E25" s="72">
        <f>IF(ISBLANK('📦 商品出厂底价库 (Products)'!A23), "", '📦 商品出厂底价库 (Products)'!N23)</f>
      </c>
      <c r="F25" s="71">
        <f>IF(ISBLANK('📦 商品出厂底价库 (Products)'!A23), "", '📦 商品出厂底价库 (Products)'!F23)</f>
      </c>
      <c r="G25" s="71">
        <f>IF(ISBLANK('📦 商品出厂底价库 (Products)'!A23), "", '📦 商品出厂底价库 (Products)'!O23)</f>
      </c>
      <c r="H25" s="71">
        <f>IF(ISBLANK('📦 商品出厂底价库 (Products)'!A23), "", '📦 商品出厂底价库 (Products)'!P23)</f>
      </c>
      <c r="I25" s="69">
        <f>IF(ISBLANK('📦 商品出厂底价库 (Products)'!A23), "", '📦 商品出厂底价库 (Products)'!J23)</f>
      </c>
    </row>
    <row r="26" ht="26" customHeight="1" spans="1:9" x14ac:dyDescent="0.25">
      <c r="A26" s="65">
        <f>IF(ISBLANK('📦 商品出厂底价库 (Products)'!A24), "", 23)</f>
      </c>
      <c r="B26" s="65">
        <f>IF(ISBLANK('📦 商品出厂底价库 (Products)'!A24), "", '📦 商品出厂底价库 (Products)'!A24)</f>
      </c>
      <c r="C26" s="66">
        <f>IF(ISBLANK('📦 商品出厂底价库 (Products)'!A24), "", '📦 商品出厂底价库 (Products)'!C24)</f>
      </c>
      <c r="D26" s="67">
        <f>IF(ISBLANK('📦 商品出厂底价库 (Products)'!A24), "", '📦 商品出厂底价库 (Products)'!E24)</f>
      </c>
      <c r="E26" s="68">
        <f>IF(ISBLANK('📦 商品出厂底价库 (Products)'!A24), "", '📦 商品出厂底价库 (Products)'!N24)</f>
      </c>
      <c r="F26" s="67">
        <f>IF(ISBLANK('📦 商品出厂底价库 (Products)'!A24), "", '📦 商品出厂底价库 (Products)'!F24)</f>
      </c>
      <c r="G26" s="67">
        <f>IF(ISBLANK('📦 商品出厂底价库 (Products)'!A24), "", '📦 商品出厂底价库 (Products)'!O24)</f>
      </c>
      <c r="H26" s="67">
        <f>IF(ISBLANK('📦 商品出厂底价库 (Products)'!A24), "", '📦 商品出厂底价库 (Products)'!P24)</f>
      </c>
      <c r="I26" s="65">
        <f>IF(ISBLANK('📦 商品出厂底价库 (Products)'!A24), "", '📦 商品出厂底价库 (Products)'!J24)</f>
      </c>
    </row>
    <row r="27" ht="26" customHeight="1" spans="1:9" x14ac:dyDescent="0.25">
      <c r="A27" s="69">
        <f>IF(ISBLANK('📦 商品出厂底价库 (Products)'!A25), "", 24)</f>
      </c>
      <c r="B27" s="69">
        <f>IF(ISBLANK('📦 商品出厂底价库 (Products)'!A25), "", '📦 商品出厂底价库 (Products)'!A25)</f>
      </c>
      <c r="C27" s="70">
        <f>IF(ISBLANK('📦 商品出厂底价库 (Products)'!A25), "", '📦 商品出厂底价库 (Products)'!C25)</f>
      </c>
      <c r="D27" s="71">
        <f>IF(ISBLANK('📦 商品出厂底价库 (Products)'!A25), "", '📦 商品出厂底价库 (Products)'!E25)</f>
      </c>
      <c r="E27" s="72">
        <f>IF(ISBLANK('📦 商品出厂底价库 (Products)'!A25), "", '📦 商品出厂底价库 (Products)'!N25)</f>
      </c>
      <c r="F27" s="71">
        <f>IF(ISBLANK('📦 商品出厂底价库 (Products)'!A25), "", '📦 商品出厂底价库 (Products)'!F25)</f>
      </c>
      <c r="G27" s="71">
        <f>IF(ISBLANK('📦 商品出厂底价库 (Products)'!A25), "", '📦 商品出厂底价库 (Products)'!O25)</f>
      </c>
      <c r="H27" s="71">
        <f>IF(ISBLANK('📦 商品出厂底价库 (Products)'!A25), "", '📦 商品出厂底价库 (Products)'!P25)</f>
      </c>
      <c r="I27" s="69">
        <f>IF(ISBLANK('📦 商品出厂底价库 (Products)'!A25), "", '📦 商品出厂底价库 (Products)'!J25)</f>
      </c>
    </row>
    <row r="28" ht="26" customHeight="1" spans="1:9" x14ac:dyDescent="0.25">
      <c r="A28" s="65">
        <f>IF(ISBLANK('📦 商品出厂底价库 (Products)'!A26), "", 25)</f>
      </c>
      <c r="B28" s="65">
        <f>IF(ISBLANK('📦 商品出厂底价库 (Products)'!A26), "", '📦 商品出厂底价库 (Products)'!A26)</f>
      </c>
      <c r="C28" s="66">
        <f>IF(ISBLANK('📦 商品出厂底价库 (Products)'!A26), "", '📦 商品出厂底价库 (Products)'!C26)</f>
      </c>
      <c r="D28" s="67">
        <f>IF(ISBLANK('📦 商品出厂底价库 (Products)'!A26), "", '📦 商品出厂底价库 (Products)'!E26)</f>
      </c>
      <c r="E28" s="68">
        <f>IF(ISBLANK('📦 商品出厂底价库 (Products)'!A26), "", '📦 商品出厂底价库 (Products)'!N26)</f>
      </c>
      <c r="F28" s="67">
        <f>IF(ISBLANK('📦 商品出厂底价库 (Products)'!A26), "", '📦 商品出厂底价库 (Products)'!F26)</f>
      </c>
      <c r="G28" s="67">
        <f>IF(ISBLANK('📦 商品出厂底价库 (Products)'!A26), "", '📦 商品出厂底价库 (Products)'!O26)</f>
      </c>
      <c r="H28" s="67">
        <f>IF(ISBLANK('📦 商品出厂底价库 (Products)'!A26), "", '📦 商品出厂底价库 (Products)'!P26)</f>
      </c>
      <c r="I28" s="65">
        <f>IF(ISBLANK('📦 商品出厂底价库 (Products)'!A26), "", '📦 商品出厂底价库 (Products)'!J26)</f>
      </c>
    </row>
    <row r="29" ht="26" customHeight="1" spans="1:9" x14ac:dyDescent="0.25">
      <c r="A29" s="69">
        <f>IF(ISBLANK('📦 商品出厂底价库 (Products)'!A27), "", 26)</f>
      </c>
      <c r="B29" s="69">
        <f>IF(ISBLANK('📦 商品出厂底价库 (Products)'!A27), "", '📦 商品出厂底价库 (Products)'!A27)</f>
      </c>
      <c r="C29" s="70">
        <f>IF(ISBLANK('📦 商品出厂底价库 (Products)'!A27), "", '📦 商品出厂底价库 (Products)'!C27)</f>
      </c>
      <c r="D29" s="71">
        <f>IF(ISBLANK('📦 商品出厂底价库 (Products)'!A27), "", '📦 商品出厂底价库 (Products)'!E27)</f>
      </c>
      <c r="E29" s="72">
        <f>IF(ISBLANK('📦 商品出厂底价库 (Products)'!A27), "", '📦 商品出厂底价库 (Products)'!N27)</f>
      </c>
      <c r="F29" s="71">
        <f>IF(ISBLANK('📦 商品出厂底价库 (Products)'!A27), "", '📦 商品出厂底价库 (Products)'!F27)</f>
      </c>
      <c r="G29" s="71">
        <f>IF(ISBLANK('📦 商品出厂底价库 (Products)'!A27), "", '📦 商品出厂底价库 (Products)'!O27)</f>
      </c>
      <c r="H29" s="71">
        <f>IF(ISBLANK('📦 商品出厂底价库 (Products)'!A27), "", '📦 商品出厂底价库 (Products)'!P27)</f>
      </c>
      <c r="I29" s="69">
        <f>IF(ISBLANK('📦 商品出厂底价库 (Products)'!A27), "", '📦 商品出厂底价库 (Products)'!J27)</f>
      </c>
    </row>
    <row r="30" ht="26" customHeight="1" spans="1:9" x14ac:dyDescent="0.25">
      <c r="A30" s="65">
        <f>IF(ISBLANK('📦 商品出厂底价库 (Products)'!A28), "", 27)</f>
      </c>
      <c r="B30" s="65">
        <f>IF(ISBLANK('📦 商品出厂底价库 (Products)'!A28), "", '📦 商品出厂底价库 (Products)'!A28)</f>
      </c>
      <c r="C30" s="66">
        <f>IF(ISBLANK('📦 商品出厂底价库 (Products)'!A28), "", '📦 商品出厂底价库 (Products)'!C28)</f>
      </c>
      <c r="D30" s="67">
        <f>IF(ISBLANK('📦 商品出厂底价库 (Products)'!A28), "", '📦 商品出厂底价库 (Products)'!E28)</f>
      </c>
      <c r="E30" s="68">
        <f>IF(ISBLANK('📦 商品出厂底价库 (Products)'!A28), "", '📦 商品出厂底价库 (Products)'!N28)</f>
      </c>
      <c r="F30" s="67">
        <f>IF(ISBLANK('📦 商品出厂底价库 (Products)'!A28), "", '📦 商品出厂底价库 (Products)'!F28)</f>
      </c>
      <c r="G30" s="67">
        <f>IF(ISBLANK('📦 商品出厂底价库 (Products)'!A28), "", '📦 商品出厂底价库 (Products)'!O28)</f>
      </c>
      <c r="H30" s="67">
        <f>IF(ISBLANK('📦 商品出厂底价库 (Products)'!A28), "", '📦 商品出厂底价库 (Products)'!P28)</f>
      </c>
      <c r="I30" s="65">
        <f>IF(ISBLANK('📦 商品出厂底价库 (Products)'!A28), "", '📦 商品出厂底价库 (Products)'!J28)</f>
      </c>
    </row>
    <row r="31" ht="26" customHeight="1" spans="1:9" x14ac:dyDescent="0.25">
      <c r="A31" s="69">
        <f>IF(ISBLANK('📦 商品出厂底价库 (Products)'!A29), "", 28)</f>
      </c>
      <c r="B31" s="69">
        <f>IF(ISBLANK('📦 商品出厂底价库 (Products)'!A29), "", '📦 商品出厂底价库 (Products)'!A29)</f>
      </c>
      <c r="C31" s="70">
        <f>IF(ISBLANK('📦 商品出厂底价库 (Products)'!A29), "", '📦 商品出厂底价库 (Products)'!C29)</f>
      </c>
      <c r="D31" s="71">
        <f>IF(ISBLANK('📦 商品出厂底价库 (Products)'!A29), "", '📦 商品出厂底价库 (Products)'!E29)</f>
      </c>
      <c r="E31" s="72">
        <f>IF(ISBLANK('📦 商品出厂底价库 (Products)'!A29), "", '📦 商品出厂底价库 (Products)'!N29)</f>
      </c>
      <c r="F31" s="71">
        <f>IF(ISBLANK('📦 商品出厂底价库 (Products)'!A29), "", '📦 商品出厂底价库 (Products)'!F29)</f>
      </c>
      <c r="G31" s="71">
        <f>IF(ISBLANK('📦 商品出厂底价库 (Products)'!A29), "", '📦 商品出厂底价库 (Products)'!O29)</f>
      </c>
      <c r="H31" s="71">
        <f>IF(ISBLANK('📦 商品出厂底价库 (Products)'!A29), "", '📦 商品出厂底价库 (Products)'!P29)</f>
      </c>
      <c r="I31" s="69">
        <f>IF(ISBLANK('📦 商品出厂底价库 (Products)'!A29), "", '📦 商品出厂底价库 (Products)'!J29)</f>
      </c>
    </row>
    <row r="32" ht="26" customHeight="1" spans="1:9" x14ac:dyDescent="0.25">
      <c r="A32" s="65">
        <f>IF(ISBLANK('📦 商品出厂底价库 (Products)'!A30), "", 29)</f>
      </c>
      <c r="B32" s="65">
        <f>IF(ISBLANK('📦 商品出厂底价库 (Products)'!A30), "", '📦 商品出厂底价库 (Products)'!A30)</f>
      </c>
      <c r="C32" s="66">
        <f>IF(ISBLANK('📦 商品出厂底价库 (Products)'!A30), "", '📦 商品出厂底价库 (Products)'!C30)</f>
      </c>
      <c r="D32" s="67">
        <f>IF(ISBLANK('📦 商品出厂底价库 (Products)'!A30), "", '📦 商品出厂底价库 (Products)'!E30)</f>
      </c>
      <c r="E32" s="68">
        <f>IF(ISBLANK('📦 商品出厂底价库 (Products)'!A30), "", '📦 商品出厂底价库 (Products)'!N30)</f>
      </c>
      <c r="F32" s="67">
        <f>IF(ISBLANK('📦 商品出厂底价库 (Products)'!A30), "", '📦 商品出厂底价库 (Products)'!F30)</f>
      </c>
      <c r="G32" s="67">
        <f>IF(ISBLANK('📦 商品出厂底价库 (Products)'!A30), "", '📦 商品出厂底价库 (Products)'!O30)</f>
      </c>
      <c r="H32" s="67">
        <f>IF(ISBLANK('📦 商品出厂底价库 (Products)'!A30), "", '📦 商品出厂底价库 (Products)'!P30)</f>
      </c>
      <c r="I32" s="65">
        <f>IF(ISBLANK('📦 商品出厂底价库 (Products)'!A30), "", '📦 商品出厂底价库 (Products)'!J30)</f>
      </c>
    </row>
    <row r="33" ht="26" customHeight="1" spans="1:9" x14ac:dyDescent="0.25">
      <c r="A33" s="69">
        <f>IF(ISBLANK('📦 商品出厂底价库 (Products)'!A31), "", 30)</f>
      </c>
      <c r="B33" s="69">
        <f>IF(ISBLANK('📦 商品出厂底价库 (Products)'!A31), "", '📦 商品出厂底价库 (Products)'!A31)</f>
      </c>
      <c r="C33" s="70">
        <f>IF(ISBLANK('📦 商品出厂底价库 (Products)'!A31), "", '📦 商品出厂底价库 (Products)'!C31)</f>
      </c>
      <c r="D33" s="71">
        <f>IF(ISBLANK('📦 商品出厂底价库 (Products)'!A31), "", '📦 商品出厂底价库 (Products)'!E31)</f>
      </c>
      <c r="E33" s="72">
        <f>IF(ISBLANK('📦 商品出厂底价库 (Products)'!A31), "", '📦 商品出厂底价库 (Products)'!N31)</f>
      </c>
      <c r="F33" s="71">
        <f>IF(ISBLANK('📦 商品出厂底价库 (Products)'!A31), "", '📦 商品出厂底价库 (Products)'!F31)</f>
      </c>
      <c r="G33" s="71">
        <f>IF(ISBLANK('📦 商品出厂底价库 (Products)'!A31), "", '📦 商品出厂底价库 (Products)'!O31)</f>
      </c>
      <c r="H33" s="71">
        <f>IF(ISBLANK('📦 商品出厂底价库 (Products)'!A31), "", '📦 商品出厂底价库 (Products)'!P31)</f>
      </c>
      <c r="I33" s="69">
        <f>IF(ISBLANK('📦 商品出厂底价库 (Products)'!A31), "", '📦 商品出厂底价库 (Products)'!J31)</f>
      </c>
    </row>
  </sheetData>
  <mergeCells count="4">
    <mergeCell ref="A1:B1"/>
    <mergeCell ref="C1:I1"/>
    <mergeCell ref="A2:B2"/>
    <mergeCell ref="C2:I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📌 使用指南与提效神器</vt:lpstr>
      <vt:lpstr>⚙️ 全局核算参数 (Config)</vt:lpstr>
      <vt:lpstr>📦 商品出厂底价库 (Products)</vt:lpstr>
      <vt:lpstr>📄 对外纯净批量报价单 (脱敏单)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IT佬Kelvin</dc:creator>
  <dc:title/>
  <dc:subject/>
  <dc:description/>
  <cp:keywords/>
  <cp:category/>
  <cp:lastModifiedBy>IT佬Kelvin</cp:lastModifiedBy>
  <dcterms:created xsi:type="dcterms:W3CDTF">2026-10-13T02:07:19Z</dcterms:created>
  <dcterms:modified xsi:type="dcterms:W3CDTF">2026-10-13T02:07:19Z</dcterms:modified>
</cp:coreProperties>
</file>