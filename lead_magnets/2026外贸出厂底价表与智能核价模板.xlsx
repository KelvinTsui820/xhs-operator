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 使用指南与提效神器" state="visible" r:id="rId4"/>
    <sheet sheetId="2" name="⚙️ 全局核算参数 (Config)" state="visible" r:id="rId5"/>
    <sheet sheetId="3" name="📦 商品出厂底价库 (Products)" state="visible" r:id="rId6"/>
    <sheet sheetId="4" name="📄 对外纯净批量报价单 (脱敏单)" state="visible" r:id="rId7"/>
  </sheets>
  <calcPr calcId="171027"/>
</workbook>
</file>

<file path=xl/sharedStrings.xml><?xml version="1.0" encoding="utf-8"?>
<sst xmlns="http://schemas.openxmlformats.org/spreadsheetml/2006/main" count="171" uniqueCount="162">
  <si>
    <t>【2026外贸出厂底价表与智能核价模板】使用指南</t>
  </si>
  <si>
    <t>💡 本地离线版与线上版 KelvinFlow (https://quote.kelvinflow.com) 采用 100% 相同数据架构。在此填写的全部数据，日后可直接无损上传，零学习成本。</t>
  </si>
  <si>
    <t>1. 为什么做这套表？</t>
  </si>
  <si>
    <t>拒绝单品手工反复按计算器！本表专为工贸一体外贸工厂、外贸公司与独立业务员打造。左侧批量录入底价与箱规，右侧全自动联动秒出全量多币种 FOB 美金单价、集装箱装柜量与利润红线防御。</t>
  </si>
  <si>
    <t>2. 【⚙️ 全局核算参数】怎么用？</t>
  </si>
  <si>
    <t>在第 2 张工作表设定贵司的内部锁定汇率（如 USD 7.20）、全厂保底毛利（如 15%）、利润防穿底红线（如 8%）与海运进仓港杂平摊（如 0.20 元/件）。在此修改后，全厂全量商品自动秒级联动更新。</t>
  </si>
  <si>
    <t>3. 【📦 商品出厂底价库】怎么用？</t>
  </si>
  <si>
    <t>在第 3 张工作表批量录入产品 SKU、出厂底价与包装尺寸。黄色公式区会自动联动倒算出精准 FOB 美金报价、自动算出 20GP/40HQ 可装柜件数；若某品毛利低于红线会自动闪烁警报。</t>
  </si>
  <si>
    <t>4. 对外发给买家安全吗？</t>
  </si>
  <si>
    <t>100% 安全！第 4 张工作表【📄 对外纯净批量报价单】专为海外买家设计，工厂出厂底价、内部成本与真实毛利率全部自动脱敏隐藏，可直接打印或导出 PDF 发给海外买家。</t>
  </si>
  <si>
    <t>5. 🚀 无缝升级线上版 (SaaS 原生直通)</t>
  </si>
  <si>
    <t>本表格式与 KelvinFlow 智能出单引擎 (https://quote.kelvinflow.com) 完全一致！平时直接当离线底价库用；一旦买家发来几十个型号的长篇英文邮件或 PDF 询盘，直接把本表上传到系统，转发邮件，AI 10 秒自动审单对齐底价生成专业英文报价单。小红书官方群友免审开通 7 天深度体验。</t>
  </si>
  <si>
    <t>6. 开源与版权说明</t>
  </si>
  <si>
    <t>由大湾区全栈独立开发者 Kelvin (IT佬Kelvin) 荣誉出品，永久免费，纯净无广告，禁止二次倒卖。欢迎在小红书官方粉丝群内交流探讨！</t>
  </si>
  <si>
    <t>🏢 我司外贸出厂核算控制台 · 全局业务参数配置 (Global Configuration)</t>
  </si>
  <si>
    <t>💡 本表由企业掌门人/财务部专管；在此设定的汇率、保底毛利率与业务条款将自动应用于系统全量商品出厂核算。修改后即时全厂生效。</t>
  </si>
  <si>
    <t>💵 模块一：结算币种与内部锁定汇率 (Currency &amp; Exchange Rates)</t>
  </si>
  <si>
    <t>外币币种 (Target Currency)</t>
  </si>
  <si>
    <t>内部锁定汇率 (Rate To RMB)</t>
  </si>
  <si>
    <t>币种符号 (Symbol)</t>
  </si>
  <si>
    <t>汇率波动预警保护基准</t>
  </si>
  <si>
    <t>适用采购区域 (采购商来源)</t>
  </si>
  <si>
    <t>USD</t>
  </si>
  <si>
    <t>$</t>
  </si>
  <si>
    <t>★ 基准主币种 (波动±3%保护)</t>
  </si>
  <si>
    <t>北美、东南亚、全球主流外贸结算 (默认主币种)</t>
  </si>
  <si>
    <t>EUR</t>
  </si>
  <si>
    <t>€</t>
  </si>
  <si>
    <t>基准锁定汇率 (波动±3%保护)</t>
  </si>
  <si>
    <t>欧盟及欧洲自由贸易区国家采购商</t>
  </si>
  <si>
    <t>GBP</t>
  </si>
  <si>
    <t>£</t>
  </si>
  <si>
    <t>英国及英联邦国家采购商</t>
  </si>
  <si>
    <t>AUD</t>
  </si>
  <si>
    <t>A$</t>
  </si>
  <si>
    <t>澳大利亚、新西兰及大洋洲采购商</t>
  </si>
  <si>
    <t>CAD</t>
  </si>
  <si>
    <t>C$</t>
  </si>
  <si>
    <t>加拿大市场专属采购商</t>
  </si>
  <si>
    <t>📈 模块二：利润红线与防穿底控制 (Profit Margin &amp; Cost Protection)</t>
  </si>
  <si>
    <t>参数控制项 (Control Parameter)</t>
  </si>
  <si>
    <t>设置基准值 (Setting Value)</t>
  </si>
  <si>
    <t>参数格式/单位</t>
  </si>
  <si>
    <t>系统生效机制与风控规则说明</t>
  </si>
  <si>
    <t>责任人/控制级别</t>
  </si>
  <si>
    <t>全厂默认保底毛利率 (Default Margin)</t>
  </si>
  <si>
    <t>百分比 (0.15)</t>
  </si>
  <si>
    <t>出厂安全底价基础上浮动加价；单品未设时自动继承此参数</t>
  </si>
  <si>
    <t>企业掌门人 / 老板</t>
  </si>
  <si>
    <t>最低保护红线毛利率 (Floor Margin)</t>
  </si>
  <si>
    <t>百分比 (0.08)</t>
  </si>
  <si>
    <t>业务员最低授权底线，低于此红线系统强制拦截并报警打回</t>
  </si>
  <si>
    <t>老板 / 财务总监</t>
  </si>
  <si>
    <t>样品打样费上浮倍率 (Sample Multiplier)</t>
  </si>
  <si>
    <t>倍率 (出厂价*2.5)</t>
  </si>
  <si>
    <t>覆盖小批量散单模具调机成本，后续批量达标全额抵扣货款</t>
  </si>
  <si>
    <t>厂长 / 工程部</t>
  </si>
  <si>
    <t>报价单默认有效期 (Price Validity)</t>
  </si>
  <si>
    <t>30 Days</t>
  </si>
  <si>
    <t>天数</t>
  </si>
  <si>
    <t>超出 30 天需重新核实原材料成本与外币汇率波动情况</t>
  </si>
  <si>
    <t>外贸部主管</t>
  </si>
  <si>
    <t>🚢 模块三：默认贸易术语与杂费基准 (Incoterms &amp; Port Charges)</t>
  </si>
  <si>
    <t>贸易术语 (Incoterm)</t>
  </si>
  <si>
    <t>指定交货港口 / 地点</t>
  </si>
  <si>
    <t>单件均摊杂费 (RMB)</t>
  </si>
  <si>
    <t>整柜固定杂费 (RMB)</t>
  </si>
  <si>
    <t>费用包含范围与口岸说明</t>
  </si>
  <si>
    <t>EXW</t>
  </si>
  <si>
    <t>工厂车间自提 (Factory Ex-works)</t>
  </si>
  <si>
    <t>买家自提，仅含标准纸箱包装，无港口杂费与拖车费</t>
  </si>
  <si>
    <t>FOB</t>
  </si>
  <si>
    <t>深圳盐田港 / 蛇口港 (Shenzhen)</t>
  </si>
  <si>
    <t>包含工厂至深圳码头内陆拖车、出口报关、港杂码头费(THC)</t>
  </si>
  <si>
    <t>CIF</t>
  </si>
  <si>
    <t>目的港（根据买家询盘实时测算）</t>
  </si>
  <si>
    <t>实时测算</t>
  </si>
  <si>
    <t>含基础货运险</t>
  </si>
  <si>
    <t>根据货柜实际目的港与实时船期核算海运费与保费</t>
  </si>
  <si>
    <t>💳 模块四：默认付款方式与结算浮动 (Payment Terms)</t>
  </si>
  <si>
    <t>付款方式 (Payment Term)</t>
  </si>
  <si>
    <t>价格浮动比例 (%)</t>
  </si>
  <si>
    <t>支持结算币种</t>
  </si>
  <si>
    <t>资金周转成本与商业规则说明</t>
  </si>
  <si>
    <t>适用客户等级与授信</t>
  </si>
  <si>
    <t>100% T/T Advance (全款预付)</t>
  </si>
  <si>
    <t>USD / EUR / GBP</t>
  </si>
  <si>
    <t>买家全款预付直享 98 折，极大加速工厂现金流周转</t>
  </si>
  <si>
    <t>新老客户通用优惠</t>
  </si>
  <si>
    <t>30% Deposit + 70% Balance (标准前T/T)</t>
  </si>
  <si>
    <t>外贸行业标准条款：30%定金排产，70%见提单副本付款</t>
  </si>
  <si>
    <t>标准成交客户</t>
  </si>
  <si>
    <t>L/C at Sight (即期不可撤销信用证)</t>
  </si>
  <si>
    <t>USD / EUR</t>
  </si>
  <si>
    <t>覆盖银行开证手续费与议付审单合规成本</t>
  </si>
  <si>
    <t>信用优良大客户</t>
  </si>
  <si>
    <t>📦 模块五：集装箱装载容积速查标尺 (Container Volume Guidelines)</t>
  </si>
  <si>
    <t>集装箱型号 (Container Type)</t>
  </si>
  <si>
    <t>安全装载容积 (CBM)</t>
  </si>
  <si>
    <t>理论容积 (CBM)</t>
  </si>
  <si>
    <t>最大限重 (KG)</t>
  </si>
  <si>
    <t>装柜适用选型建议</t>
  </si>
  <si>
    <t>20GP (20尺小柜)</t>
  </si>
  <si>
    <t>适合五金紧固件、金属椅脚等高密度重货或试单</t>
  </si>
  <si>
    <t>40GP (40尺平柜)</t>
  </si>
  <si>
    <t>适合体积适中、重量适中的常规工业品与配件</t>
  </si>
  <si>
    <t>40HQ (40尺高柜)</t>
  </si>
  <si>
    <t>适合办公椅、支架、轻泡货等大体积外贸商品</t>
  </si>
  <si>
    <t>产品型号 / SKU (必填)</t>
  </si>
  <si>
    <t>买家常用别名 (Aliases·选填)</t>
  </si>
  <si>
    <t>产品英文品名与规格描述 (必填)</t>
  </si>
  <si>
    <t>出厂底价 (RMB Cost·必填安全底价)</t>
  </si>
  <si>
    <t>最低起订量 MOQ (PCS·选填)</t>
  </si>
  <si>
    <t>单箱装量 (PCS/CTN·选填)</t>
  </si>
  <si>
    <t>外箱体积 (CBM/CTN·选填)</t>
  </si>
  <si>
    <t>单箱毛重 G.W. (kg/CTN·选填)</t>
  </si>
  <si>
    <t>单品专属保底毛利率 (选填·留空继承15%)</t>
  </si>
  <si>
    <t>专属生产交期 (选填·留空继承25-30天)</t>
  </si>
  <si>
    <t>海关编码 HS Code (选填)</t>
  </si>
  <si>
    <t>⚡ 单件港杂平摊(RMB)</t>
  </si>
  <si>
    <t>⚡ 生效核算毛利率</t>
  </si>
  <si>
    <t>🎯 FOB美金单价(USD)</t>
  </si>
  <si>
    <t>📦 20GP小柜装量(PCS)</t>
  </si>
  <si>
    <t>📦 40HQ高柜装量(PCS)</t>
  </si>
  <si>
    <t>🛡️ 利润安全状态</t>
  </si>
  <si>
    <t>ST-2026-A</t>
  </si>
  <si>
    <t>ACME-991, Heavy Bracket, 991支架, Stand Pro</t>
  </si>
  <si>
    <t>Aluminum Alloy Precision Bracket (铝合金精密五金支架)</t>
  </si>
  <si>
    <t>20-25 Days</t>
  </si>
  <si>
    <t>7616.99.9000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</si>
  <si>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</si>
  <si>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</si>
  <si>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</si>
  <si>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</si>
  <si>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7318.15.9000</t>
  </si>
  <si>
    <t>ERG-PRO-V2</t>
  </si>
  <si>
    <t>Executive Chair, 9088办公椅, CHAIR-MESH-PRO, Ergo Chair</t>
  </si>
  <si>
    <t>Ergonomic Mesh Office Chair (高档网布人体工学办公椅)</t>
  </si>
  <si>
    <t>30-35 Days</t>
  </si>
  <si>
    <t>9401.30.0000</t>
  </si>
  <si>
    <t>AL-BASE-99</t>
  </si>
  <si>
    <t>5 Star Base, Chair Leg, 铝合金五星脚, Star Base 99</t>
  </si>
  <si>
    <t>Die-casting Aluminum 5-Star Base (高压铸铝合金五星椅脚)</t>
  </si>
  <si>
    <t>25-30 Days</t>
  </si>
  <si>
    <t>9401.90.9000</t>
  </si>
  <si>
    <t>HD-ARM-08</t>
  </si>
  <si>
    <t>3D Armrest, PU Arm, 升降扶手, ARM-08</t>
  </si>
  <si>
    <t>3D Adjustable PU Armrest Set (3D多功能升降PU扶手套装)</t>
  </si>
  <si>
    <t>HD-ARM-09</t>
  </si>
  <si>
    <t>3D Armrest Pro, PU Armrest Plus, 加强升降扶手, ARM-09</t>
  </si>
  <si>
    <t>GLOBAL EXPORT FORMAL QUOTATION (COMMERCIAL OFFER)</t>
  </si>
  <si>
    <t>Trade Term: FOB Shenzhen (Incoterms 2020)  |  Currency: USD ($)</t>
  </si>
  <si>
    <t>Payment: 30% Deposit, 70% Before Shipment  |  Price Validity: 30 Days</t>
  </si>
  <si>
    <t>Item</t>
  </si>
  <si>
    <t>Model No.</t>
  </si>
  <si>
    <t>Product Description &amp; Detailed Specifications</t>
  </si>
  <si>
    <t>MOQ (PCS)</t>
  </si>
  <si>
    <t>FOB Price (USD)</t>
  </si>
  <si>
    <t>Packing (PCS/CTN)</t>
  </si>
  <si>
    <t>20GP Est. (PCS)</t>
  </si>
  <si>
    <t>40HQ Est. (PCS)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</si>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</sst>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0.0"/>
    <numFmt numFmtId="166" formatCode="¥#,##0.00"/>
    <numFmt numFmtId="167" formatCode="+0.0%;-0.0%;0.0%"/>
    <numFmt numFmtId="168" formatCode="0.0&quot; CBM&quot;"/>
    <numFmt numFmtId="169" formatCode="#,##0&quot; KG&quot;"/>
    <numFmt numFmtId="170" formatCode="0.000"/>
    <numFmt numFmtId="171" formatCode="$#,##0.00"/>
  </numFmts>
  <fonts count="20" x14ac:knownFonts="1">
    <font>
      <color theme="1"/>
      <family val="2"/>
      <scheme val="minor"/>
      <sz val="11"/>
      <name val="Calibri"/>
    </font>
    <font>
      <b/>
      <color rgb="FFFFFFFF"/>
      <sz val="13"/>
      <name val="Microsoft YaHei"/>
    </font>
    <font>
      <i/>
      <color rgb="FF475569"/>
      <sz val="9.5"/>
      <name val="Microsoft YaHei"/>
    </font>
    <font>
      <b/>
      <color rgb="FF1E3A8A"/>
      <sz val="10"/>
      <name val="Microsoft YaHei"/>
    </font>
    <font>
      <color rgb="FF1E293B"/>
      <sz val="9.5"/>
      <name val="Microsoft YaHei"/>
    </font>
    <font>
      <color rgb="FF475569"/>
      <sz val="9.5"/>
      <name val="Microsoft YaHei"/>
    </font>
    <font>
      <b/>
      <color rgb="FF1E3A8A"/>
      <sz val="11"/>
      <name val="Microsoft YaHei"/>
    </font>
    <font>
      <b/>
      <color rgb="FFFFFFFF"/>
      <sz val="10"/>
      <name val="Microsoft YaHei"/>
    </font>
    <font>
      <b/>
      <color rgb="FF1E293B"/>
      <sz val="10"/>
      <name val="Microsoft YaHei"/>
    </font>
    <font>
      <color rgb="FF1E293B"/>
      <sz val="10"/>
      <name val="Microsoft YaHei"/>
    </font>
    <font>
      <b/>
      <color rgb="FFB91C1C"/>
      <sz val="10"/>
      <name val="Microsoft YaHei"/>
    </font>
    <font>
      <color rgb="FFB91C1C"/>
      <sz val="10"/>
      <name val="Microsoft YaHei"/>
    </font>
    <font>
      <b/>
      <color rgb="FFFFFFFF"/>
      <sz val="10.5"/>
      <name val="Microsoft YaHei"/>
    </font>
    <font>
      <b/>
      <color rgb="FF1E293B"/>
      <sz val="9.5"/>
      <name val="Microsoft YaHei"/>
    </font>
    <font>
      <b/>
      <color rgb="FF1E3A8A"/>
      <sz val="9.5"/>
      <name val="Microsoft YaHei"/>
    </font>
    <font>
      <b/>
      <color rgb="FFFFFFFF"/>
      <sz val="13"/>
      <name val="Arial"/>
    </font>
    <font>
      <i/>
      <color rgb="FF1E293B"/>
      <sz val="9.5"/>
      <name val="Arial"/>
    </font>
    <font>
      <b/>
      <color rgb="FFFFFFFF"/>
      <sz val="10"/>
      <name val="Arial"/>
    </font>
    <font>
      <color rgb="FF1E293B"/>
      <sz val="9.5"/>
      <name val="Arial"/>
    </font>
    <font>
      <b/>
      <color rgb="FF1E3A8A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164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 indent="1"/>
    </xf>
    <xf numFmtId="165" fontId="8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166" fontId="9" fillId="5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169" fontId="9" fillId="5" borderId="1" xfId="0" applyNumberFormat="1" applyFont="1" applyFill="1" applyBorder="1" applyAlignment="1">
      <alignment horizontal="center" vertical="center"/>
    </xf>
    <xf numFmtId="168" fontId="9" fillId="3" borderId="1" xfId="0" applyNumberFormat="1" applyFont="1" applyFill="1" applyBorder="1" applyAlignment="1">
      <alignment horizontal="center" vertical="center"/>
    </xf>
    <xf numFmtId="169" fontId="9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166" fontId="13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center" vertical="center"/>
    </xf>
    <xf numFmtId="170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71" fontId="1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166" fontId="13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170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right" vertical="center"/>
    </xf>
    <xf numFmtId="0" fontId="17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3" fontId="18" fillId="5" borderId="1" xfId="0" applyNumberFormat="1" applyFont="1" applyFill="1" applyBorder="1" applyAlignment="1">
      <alignment horizontal="center" vertical="center"/>
    </xf>
    <xf numFmtId="171" fontId="19" fillId="5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indent="1"/>
    </xf>
    <xf numFmtId="3" fontId="18" fillId="3" borderId="1" xfId="0" applyNumberFormat="1" applyFont="1" applyFill="1" applyBorder="1" applyAlignment="1">
      <alignment horizontal="center" vertical="center"/>
    </xf>
    <xf numFmtId="171" fontId="1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5" customWidth="1"/>
    <col min="2" max="2" width="34" customWidth="1"/>
    <col min="3" max="3" width="92" customWidth="1"/>
  </cols>
  <sheetData>
    <row r="2" ht="38" customHeight="1" spans="2:3" x14ac:dyDescent="0.25">
      <c r="B2" s="1" t="s">
        <v>0</v>
      </c>
      <c r="C2" s="1"/>
    </row>
    <row r="3" ht="30" customHeight="1" spans="2:3" x14ac:dyDescent="0.25">
      <c r="B3" s="2" t="s">
        <v>1</v>
      </c>
      <c r="C3" s="2"/>
    </row>
    <row r="5" ht="52" customHeight="1" spans="2:3" x14ac:dyDescent="0.25">
      <c r="B5" s="3" t="s">
        <v>2</v>
      </c>
      <c r="C5" s="4" t="s">
        <v>3</v>
      </c>
    </row>
    <row r="6" ht="52" customHeight="1" spans="2:3" x14ac:dyDescent="0.25">
      <c r="B6" s="3" t="s">
        <v>4</v>
      </c>
      <c r="C6" s="5" t="s">
        <v>5</v>
      </c>
    </row>
    <row r="7" ht="52" customHeight="1" spans="2:3" x14ac:dyDescent="0.25">
      <c r="B7" s="3" t="s">
        <v>6</v>
      </c>
      <c r="C7" s="4" t="s">
        <v>7</v>
      </c>
    </row>
    <row r="8" ht="42" customHeight="1" spans="2:3" x14ac:dyDescent="0.25">
      <c r="B8" s="3" t="s">
        <v>8</v>
      </c>
      <c r="C8" s="5" t="s">
        <v>9</v>
      </c>
    </row>
    <row r="9" ht="75" customHeight="1" spans="2:3" x14ac:dyDescent="0.25">
      <c r="B9" s="3" t="s">
        <v>10</v>
      </c>
      <c r="C9" s="4" t="s">
        <v>11</v>
      </c>
    </row>
    <row r="10" ht="42" customHeight="1" spans="2:3" x14ac:dyDescent="0.25">
      <c r="B10" s="3" t="s">
        <v>12</v>
      </c>
      <c r="C10" s="5" t="s">
        <v>13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/>
  </sheetViews>
  <sheetFormatPr defaultRowHeight="15" outlineLevelRow="0" outlineLevelCol="0" x14ac:dyDescent="55"/>
  <cols>
    <col min="1" max="1" width="40" customWidth="1"/>
    <col min="2" max="2" width="32" customWidth="1"/>
    <col min="3" max="3" width="22" customWidth="1"/>
    <col min="4" max="4" width="60" customWidth="1"/>
    <col min="5" max="5" width="54" customWidth="1"/>
  </cols>
  <sheetData>
    <row r="1" ht="38" customHeight="1" spans="1:5" x14ac:dyDescent="0.25">
      <c r="A1" s="1" t="s">
        <v>14</v>
      </c>
      <c r="B1" s="1"/>
      <c r="C1" s="1"/>
      <c r="D1" s="1"/>
      <c r="E1" s="1"/>
    </row>
    <row r="2" ht="24" customHeight="1" spans="1:5" x14ac:dyDescent="0.25">
      <c r="A2" s="6" t="s">
        <v>15</v>
      </c>
      <c r="B2" s="6"/>
      <c r="C2" s="6"/>
      <c r="D2" s="6"/>
      <c r="E2" s="6"/>
    </row>
    <row r="4" ht="26" customHeight="1" spans="1:5" x14ac:dyDescent="0.25">
      <c r="A4" s="7" t="s">
        <v>16</v>
      </c>
      <c r="B4" s="7"/>
      <c r="C4" s="7"/>
      <c r="D4" s="7"/>
      <c r="E4" s="7"/>
    </row>
    <row r="5" ht="24" customHeight="1" spans="1:5" x14ac:dyDescent="0.25">
      <c r="A5" s="8" t="s">
        <v>17</v>
      </c>
      <c r="B5" s="8" t="s">
        <v>18</v>
      </c>
      <c r="C5" s="8" t="s">
        <v>19</v>
      </c>
      <c r="D5" s="8" t="s">
        <v>20</v>
      </c>
      <c r="E5" s="8" t="s">
        <v>21</v>
      </c>
    </row>
    <row r="6" ht="22" customHeight="1" spans="1:5" x14ac:dyDescent="0.25">
      <c r="A6" s="9" t="s">
        <v>22</v>
      </c>
      <c r="B6" s="10">
        <v>7.2</v>
      </c>
      <c r="C6" s="11" t="s">
        <v>23</v>
      </c>
      <c r="D6" s="12" t="s">
        <v>24</v>
      </c>
      <c r="E6" s="12" t="s">
        <v>25</v>
      </c>
    </row>
    <row r="7" ht="22" customHeight="1" spans="1:5" x14ac:dyDescent="0.25">
      <c r="A7" s="13" t="s">
        <v>26</v>
      </c>
      <c r="B7" s="14">
        <v>7.85</v>
      </c>
      <c r="C7" s="15" t="s">
        <v>27</v>
      </c>
      <c r="D7" s="16" t="s">
        <v>28</v>
      </c>
      <c r="E7" s="16" t="s">
        <v>29</v>
      </c>
    </row>
    <row r="8" ht="22" customHeight="1" spans="1:5" x14ac:dyDescent="0.25">
      <c r="A8" s="9" t="s">
        <v>30</v>
      </c>
      <c r="B8" s="10">
        <v>9.1</v>
      </c>
      <c r="C8" s="11" t="s">
        <v>31</v>
      </c>
      <c r="D8" s="12" t="s">
        <v>28</v>
      </c>
      <c r="E8" s="12" t="s">
        <v>32</v>
      </c>
    </row>
    <row r="9" ht="22" customHeight="1" spans="1:5" x14ac:dyDescent="0.25">
      <c r="A9" s="13" t="s">
        <v>33</v>
      </c>
      <c r="B9" s="14">
        <v>4.8</v>
      </c>
      <c r="C9" s="15" t="s">
        <v>34</v>
      </c>
      <c r="D9" s="16" t="s">
        <v>28</v>
      </c>
      <c r="E9" s="16" t="s">
        <v>35</v>
      </c>
    </row>
    <row r="10" ht="22" customHeight="1" spans="1:5" x14ac:dyDescent="0.25">
      <c r="A10" s="9" t="s">
        <v>36</v>
      </c>
      <c r="B10" s="10">
        <v>5.3</v>
      </c>
      <c r="C10" s="11" t="s">
        <v>37</v>
      </c>
      <c r="D10" s="12" t="s">
        <v>28</v>
      </c>
      <c r="E10" s="12" t="s">
        <v>38</v>
      </c>
    </row>
    <row r="12" ht="26" customHeight="1" spans="1:5" x14ac:dyDescent="0.25">
      <c r="A12" s="7" t="s">
        <v>39</v>
      </c>
      <c r="B12" s="7"/>
      <c r="C12" s="7"/>
      <c r="D12" s="7"/>
      <c r="E12" s="7"/>
    </row>
    <row r="13" ht="24" customHeight="1" spans="1:5" x14ac:dyDescent="0.25">
      <c r="A13" s="8" t="s">
        <v>40</v>
      </c>
      <c r="B13" s="8" t="s">
        <v>41</v>
      </c>
      <c r="C13" s="8" t="s">
        <v>42</v>
      </c>
      <c r="D13" s="8" t="s">
        <v>43</v>
      </c>
      <c r="E13" s="8" t="s">
        <v>44</v>
      </c>
    </row>
    <row r="14" ht="22" customHeight="1" spans="1:5" x14ac:dyDescent="0.25">
      <c r="A14" s="17" t="s">
        <v>45</v>
      </c>
      <c r="B14" s="18">
        <v>0.15</v>
      </c>
      <c r="C14" s="11" t="s">
        <v>46</v>
      </c>
      <c r="D14" s="12" t="s">
        <v>47</v>
      </c>
      <c r="E14" s="12" t="s">
        <v>48</v>
      </c>
    </row>
    <row r="15" ht="22" customHeight="1" spans="1:5" x14ac:dyDescent="0.25">
      <c r="A15" s="19" t="s">
        <v>49</v>
      </c>
      <c r="B15" s="20">
        <v>0.08</v>
      </c>
      <c r="C15" s="21" t="s">
        <v>50</v>
      </c>
      <c r="D15" s="22" t="s">
        <v>51</v>
      </c>
      <c r="E15" s="22" t="s">
        <v>52</v>
      </c>
    </row>
    <row r="16" ht="22" customHeight="1" spans="1:5" x14ac:dyDescent="0.25">
      <c r="A16" s="17" t="s">
        <v>53</v>
      </c>
      <c r="B16" s="23">
        <v>2.5</v>
      </c>
      <c r="C16" s="11" t="s">
        <v>54</v>
      </c>
      <c r="D16" s="12" t="s">
        <v>55</v>
      </c>
      <c r="E16" s="12" t="s">
        <v>56</v>
      </c>
    </row>
    <row r="17" ht="22" customHeight="1" spans="1:5" x14ac:dyDescent="0.25">
      <c r="A17" s="24" t="s">
        <v>57</v>
      </c>
      <c r="B17" s="13" t="s">
        <v>58</v>
      </c>
      <c r="C17" s="15" t="s">
        <v>59</v>
      </c>
      <c r="D17" s="16" t="s">
        <v>60</v>
      </c>
      <c r="E17" s="16" t="s">
        <v>61</v>
      </c>
    </row>
    <row r="19" ht="26" customHeight="1" spans="1:5" x14ac:dyDescent="0.25">
      <c r="A19" s="7" t="s">
        <v>62</v>
      </c>
      <c r="B19" s="7"/>
      <c r="C19" s="7"/>
      <c r="D19" s="7"/>
      <c r="E19" s="7"/>
    </row>
    <row r="20" ht="24" customHeight="1" spans="1:5" x14ac:dyDescent="0.25">
      <c r="A20" s="8" t="s">
        <v>63</v>
      </c>
      <c r="B20" s="8" t="s">
        <v>64</v>
      </c>
      <c r="C20" s="8" t="s">
        <v>65</v>
      </c>
      <c r="D20" s="8" t="s">
        <v>66</v>
      </c>
      <c r="E20" s="8" t="s">
        <v>67</v>
      </c>
    </row>
    <row r="21" ht="22" customHeight="1" spans="1:5" x14ac:dyDescent="0.25">
      <c r="A21" s="9" t="s">
        <v>68</v>
      </c>
      <c r="B21" s="12" t="s">
        <v>69</v>
      </c>
      <c r="C21" s="25">
        <v>0</v>
      </c>
      <c r="D21" s="25">
        <v>0</v>
      </c>
      <c r="E21" s="12" t="s">
        <v>70</v>
      </c>
    </row>
    <row r="22" ht="22" customHeight="1" spans="1:5" x14ac:dyDescent="0.25">
      <c r="A22" s="13" t="s">
        <v>71</v>
      </c>
      <c r="B22" s="16" t="s">
        <v>72</v>
      </c>
      <c r="C22" s="26">
        <v>0.2</v>
      </c>
      <c r="D22" s="26">
        <v>1500</v>
      </c>
      <c r="E22" s="16" t="s">
        <v>73</v>
      </c>
    </row>
    <row r="23" ht="22" customHeight="1" spans="1:5" x14ac:dyDescent="0.25">
      <c r="A23" s="9" t="s">
        <v>74</v>
      </c>
      <c r="B23" s="12" t="s">
        <v>75</v>
      </c>
      <c r="C23" s="11" t="s">
        <v>76</v>
      </c>
      <c r="D23" s="11" t="s">
        <v>77</v>
      </c>
      <c r="E23" s="12" t="s">
        <v>78</v>
      </c>
    </row>
    <row r="25" ht="26" customHeight="1" spans="1:5" x14ac:dyDescent="0.25">
      <c r="A25" s="7" t="s">
        <v>79</v>
      </c>
      <c r="B25" s="7"/>
      <c r="C25" s="7"/>
      <c r="D25" s="7"/>
      <c r="E25" s="7"/>
    </row>
    <row r="26" ht="24" customHeight="1" spans="1:5" x14ac:dyDescent="0.25">
      <c r="A26" s="8" t="s">
        <v>80</v>
      </c>
      <c r="B26" s="8" t="s">
        <v>81</v>
      </c>
      <c r="C26" s="8" t="s">
        <v>82</v>
      </c>
      <c r="D26" s="8" t="s">
        <v>83</v>
      </c>
      <c r="E26" s="8" t="s">
        <v>84</v>
      </c>
    </row>
    <row r="27" ht="22" customHeight="1" spans="1:5" x14ac:dyDescent="0.25">
      <c r="A27" s="17" t="s">
        <v>85</v>
      </c>
      <c r="B27" s="27">
        <v>-0.02</v>
      </c>
      <c r="C27" s="11" t="s">
        <v>86</v>
      </c>
      <c r="D27" s="12" t="s">
        <v>87</v>
      </c>
      <c r="E27" s="12" t="s">
        <v>88</v>
      </c>
    </row>
    <row r="28" ht="22" customHeight="1" spans="1:5" x14ac:dyDescent="0.25">
      <c r="A28" s="24" t="s">
        <v>89</v>
      </c>
      <c r="B28" s="28">
        <v>0</v>
      </c>
      <c r="C28" s="15" t="s">
        <v>86</v>
      </c>
      <c r="D28" s="16" t="s">
        <v>90</v>
      </c>
      <c r="E28" s="16" t="s">
        <v>91</v>
      </c>
    </row>
    <row r="29" ht="22" customHeight="1" spans="1:5" x14ac:dyDescent="0.25">
      <c r="A29" s="17" t="s">
        <v>92</v>
      </c>
      <c r="B29" s="27">
        <v>0.015</v>
      </c>
      <c r="C29" s="11" t="s">
        <v>93</v>
      </c>
      <c r="D29" s="12" t="s">
        <v>94</v>
      </c>
      <c r="E29" s="12" t="s">
        <v>95</v>
      </c>
    </row>
    <row r="31" ht="26" customHeight="1" spans="1:5" x14ac:dyDescent="0.25">
      <c r="A31" s="7" t="s">
        <v>96</v>
      </c>
      <c r="B31" s="7"/>
      <c r="C31" s="7"/>
      <c r="D31" s="7"/>
      <c r="E31" s="7"/>
    </row>
    <row r="32" ht="24" customHeight="1" spans="1:5" x14ac:dyDescent="0.25">
      <c r="A32" s="8" t="s">
        <v>97</v>
      </c>
      <c r="B32" s="8" t="s">
        <v>98</v>
      </c>
      <c r="C32" s="8" t="s">
        <v>99</v>
      </c>
      <c r="D32" s="8" t="s">
        <v>100</v>
      </c>
      <c r="E32" s="8" t="s">
        <v>101</v>
      </c>
    </row>
    <row r="33" ht="22" customHeight="1" spans="1:5" x14ac:dyDescent="0.25">
      <c r="A33" s="17" t="s">
        <v>102</v>
      </c>
      <c r="B33" s="29">
        <v>28</v>
      </c>
      <c r="C33" s="29">
        <v>33.2</v>
      </c>
      <c r="D33" s="30">
        <v>21800</v>
      </c>
      <c r="E33" s="12" t="s">
        <v>103</v>
      </c>
    </row>
    <row r="34" ht="22" customHeight="1" spans="1:5" x14ac:dyDescent="0.25">
      <c r="A34" s="24" t="s">
        <v>104</v>
      </c>
      <c r="B34" s="31">
        <v>58</v>
      </c>
      <c r="C34" s="31">
        <v>67.7</v>
      </c>
      <c r="D34" s="32">
        <v>26000</v>
      </c>
      <c r="E34" s="16" t="s">
        <v>105</v>
      </c>
    </row>
    <row r="35" ht="22" customHeight="1" spans="1:5" x14ac:dyDescent="0.25">
      <c r="A35" s="17" t="s">
        <v>106</v>
      </c>
      <c r="B35" s="29">
        <v>68</v>
      </c>
      <c r="C35" s="29">
        <v>76.3</v>
      </c>
      <c r="D35" s="30">
        <v>26000</v>
      </c>
      <c r="E35" s="12" t="s">
        <v>107</v>
      </c>
    </row>
  </sheetData>
  <mergeCells count="7">
    <mergeCell ref="A1:E1"/>
    <mergeCell ref="A2:E2"/>
    <mergeCell ref="A4:E4"/>
    <mergeCell ref="A12:E12"/>
    <mergeCell ref="A19:E19"/>
    <mergeCell ref="A25:E25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6" customWidth="1"/>
    <col min="2" max="2" width="55" customWidth="1"/>
    <col min="3" max="3" width="60" customWidth="1"/>
    <col min="4" max="4" width="34" customWidth="1"/>
    <col min="5" max="5" width="28" customWidth="1"/>
    <col min="6" max="7" width="26" customWidth="1"/>
    <col min="8" max="8" width="30" customWidth="1"/>
    <col min="9" max="10" width="36" customWidth="1"/>
    <col min="11" max="11" width="26" customWidth="1"/>
    <col min="12" max="12" width="25" customWidth="1"/>
    <col min="13" max="13" width="22" customWidth="1"/>
    <col min="14" max="14" width="28" customWidth="1"/>
    <col min="15" max="16" width="26" customWidth="1"/>
    <col min="17" max="17" width="24" customWidth="1"/>
  </cols>
  <sheetData>
    <row r="1" ht="32" customHeight="1" spans="1:17" x14ac:dyDescent="0.25">
      <c r="A1" s="33" t="s">
        <v>108</v>
      </c>
      <c r="B1" s="33" t="s">
        <v>109</v>
      </c>
      <c r="C1" s="33" t="s">
        <v>110</v>
      </c>
      <c r="D1" s="33" t="s">
        <v>111</v>
      </c>
      <c r="E1" s="33" t="s">
        <v>112</v>
      </c>
      <c r="F1" s="33" t="s">
        <v>113</v>
      </c>
      <c r="G1" s="33" t="s">
        <v>114</v>
      </c>
      <c r="H1" s="33" t="s">
        <v>115</v>
      </c>
      <c r="I1" s="33" t="s">
        <v>116</v>
      </c>
      <c r="J1" s="33" t="s">
        <v>117</v>
      </c>
      <c r="K1" s="33" t="s">
        <v>118</v>
      </c>
      <c r="L1" s="34" t="s">
        <v>119</v>
      </c>
      <c r="M1" s="34" t="s">
        <v>120</v>
      </c>
      <c r="N1" s="34" t="s">
        <v>121</v>
      </c>
      <c r="O1" s="34" t="s">
        <v>122</v>
      </c>
      <c r="P1" s="34" t="s">
        <v>123</v>
      </c>
      <c r="Q1" s="34" t="s">
        <v>124</v>
      </c>
    </row>
    <row r="2" ht="24" customHeight="1" spans="1:17" x14ac:dyDescent="0.25">
      <c r="A2" s="35" t="s">
        <v>125</v>
      </c>
      <c r="B2" s="36" t="s">
        <v>126</v>
      </c>
      <c r="C2" s="36" t="s">
        <v>127</v>
      </c>
      <c r="D2" s="37">
        <v>15.5</v>
      </c>
      <c r="E2" s="38">
        <v>500</v>
      </c>
      <c r="F2" s="38">
        <v>50</v>
      </c>
      <c r="G2" s="39">
        <v>0.045</v>
      </c>
      <c r="H2" s="40">
        <v>14.5</v>
      </c>
      <c r="I2" s="41"/>
      <c r="J2" s="35" t="s">
        <v>128</v>
      </c>
      <c r="K2" s="35" t="s">
        <v>129</v>
      </c>
      <c r="L2" s="42">
        <f>'⚙️ 全局核算参数 (Config)'!$C$22</f>
      </c>
      <c r="M2" s="43">
        <f>IF(ISBLANK(I2), '⚙️ 全局核算参数 (Config)'!$B$14, I2)</f>
      </c>
      <c r="N2" s="44">
        <f>ROUND(((D2 * (1 + M2) + L2) / '⚙️ 全局核算参数 (Config)'!$B$6), 2)</f>
      </c>
      <c r="O2" s="45">
        <f>IF(AND(G2&gt;0, F2&gt;0), INT(('⚙️ 全局核算参数 (Config)'!$B$33 / G2)) * F2, "-")</f>
      </c>
      <c r="P2" s="45">
        <f>IF(AND(G2&gt;0, F2&gt;0), INT(('⚙️ 全局核算参数 (Config)'!$B$35 / G2)) * F2, "-")</f>
      </c>
      <c r="Q2" s="46">
        <f>IF(M2&lt;'⚙️ 全局核算参数 (Config)'!$B$15, "🚨 穿透红线", IF(M2&gt;=0.25, "💎 高毛利款", "✅ 利润健康"))</f>
      </c>
    </row>
    <row r="3" ht="24" customHeight="1" spans="1:17" x14ac:dyDescent="0.25">
      <c r="A3" s="47" t="s">
        <v>130</v>
      </c>
      <c r="B3" s="48" t="s">
        <v>131</v>
      </c>
      <c r="C3" s="48" t="s">
        <v>132</v>
      </c>
      <c r="D3" s="49">
        <v>0.85</v>
      </c>
      <c r="E3" s="50">
        <v>5000</v>
      </c>
      <c r="F3" s="50">
        <v>1000</v>
      </c>
      <c r="G3" s="51">
        <v>0.02</v>
      </c>
      <c r="H3" s="52">
        <v>18</v>
      </c>
      <c r="I3" s="53">
        <v>0.18</v>
      </c>
      <c r="J3" s="47" t="s">
        <v>133</v>
      </c>
      <c r="K3" s="47" t="s">
        <v>134</v>
      </c>
      <c r="L3" s="42">
        <f>'⚙️ 全局核算参数 (Config)'!$C$22</f>
      </c>
      <c r="M3" s="43">
        <f>IF(ISBLANK(I3), '⚙️ 全局核算参数 (Config)'!$B$14, I3)</f>
      </c>
      <c r="N3" s="44">
        <f>ROUND(((D3 * (1 + M3) + L3) / '⚙️ 全局核算参数 (Config)'!$B$6), 2)</f>
      </c>
      <c r="O3" s="45">
        <f>IF(AND(G3&gt;0, F3&gt;0), INT(('⚙️ 全局核算参数 (Config)'!$B$33 / G3)) * F3, "-")</f>
      </c>
      <c r="P3" s="45">
        <f>IF(AND(G3&gt;0, F3&gt;0), INT(('⚙️ 全局核算参数 (Config)'!$B$35 / G3)) * F3, "-")</f>
      </c>
      <c r="Q3" s="46">
        <f>IF(M3&lt;'⚙️ 全局核算参数 (Config)'!$B$15, "🚨 穿透红线", IF(M3&gt;=0.25, "💎 高毛利款", "✅ 利润健康"))</f>
      </c>
    </row>
    <row r="4" ht="24" customHeight="1" spans="1:17" x14ac:dyDescent="0.25">
      <c r="A4" s="35" t="s">
        <v>135</v>
      </c>
      <c r="B4" s="36" t="s">
        <v>136</v>
      </c>
      <c r="C4" s="36" t="s">
        <v>137</v>
      </c>
      <c r="D4" s="37">
        <v>185</v>
      </c>
      <c r="E4" s="38">
        <v>50</v>
      </c>
      <c r="F4" s="38">
        <v>1</v>
      </c>
      <c r="G4" s="39">
        <v>0.16</v>
      </c>
      <c r="H4" s="40">
        <v>16.2</v>
      </c>
      <c r="I4" s="41">
        <v>0.25</v>
      </c>
      <c r="J4" s="35" t="s">
        <v>138</v>
      </c>
      <c r="K4" s="35" t="s">
        <v>139</v>
      </c>
      <c r="L4" s="42">
        <f>'⚙️ 全局核算参数 (Config)'!$C$22</f>
      </c>
      <c r="M4" s="43">
        <f>IF(ISBLANK(I4), '⚙️ 全局核算参数 (Config)'!$B$14, I4)</f>
      </c>
      <c r="N4" s="44">
        <f>ROUND(((D4 * (1 + M4) + L4) / '⚙️ 全局核算参数 (Config)'!$B$6), 2)</f>
      </c>
      <c r="O4" s="45">
        <f>IF(AND(G4&gt;0, F4&gt;0), INT(('⚙️ 全局核算参数 (Config)'!$B$33 / G4)) * F4, "-")</f>
      </c>
      <c r="P4" s="45">
        <f>IF(AND(G4&gt;0, F4&gt;0), INT(('⚙️ 全局核算参数 (Config)'!$B$35 / G4)) * F4, "-")</f>
      </c>
      <c r="Q4" s="46">
        <f>IF(M4&lt;'⚙️ 全局核算参数 (Config)'!$B$15, "🚨 穿透红线", IF(M4&gt;=0.25, "💎 高毛利款", "✅ 利润健康"))</f>
      </c>
    </row>
    <row r="5" ht="24" customHeight="1" spans="1:17" x14ac:dyDescent="0.25">
      <c r="A5" s="47" t="s">
        <v>140</v>
      </c>
      <c r="B5" s="48" t="s">
        <v>141</v>
      </c>
      <c r="C5" s="48" t="s">
        <v>142</v>
      </c>
      <c r="D5" s="49">
        <v>38</v>
      </c>
      <c r="E5" s="50">
        <v>200</v>
      </c>
      <c r="F5" s="50">
        <v>5</v>
      </c>
      <c r="G5" s="51">
        <v>0.08</v>
      </c>
      <c r="H5" s="52">
        <v>11</v>
      </c>
      <c r="I5" s="53"/>
      <c r="J5" s="47" t="s">
        <v>143</v>
      </c>
      <c r="K5" s="47" t="s">
        <v>144</v>
      </c>
      <c r="L5" s="42">
        <f>'⚙️ 全局核算参数 (Config)'!$C$22</f>
      </c>
      <c r="M5" s="43">
        <f>IF(ISBLANK(I5), '⚙️ 全局核算参数 (Config)'!$B$14, I5)</f>
      </c>
      <c r="N5" s="44">
        <f>ROUND(((D5 * (1 + M5) + L5) / '⚙️ 全局核算参数 (Config)'!$B$6), 2)</f>
      </c>
      <c r="O5" s="45">
        <f>IF(AND(G5&gt;0, F5&gt;0), INT(('⚙️ 全局核算参数 (Config)'!$B$33 / G5)) * F5, "-")</f>
      </c>
      <c r="P5" s="45">
        <f>IF(AND(G5&gt;0, F5&gt;0), INT(('⚙️ 全局核算参数 (Config)'!$B$35 / G5)) * F5, "-")</f>
      </c>
      <c r="Q5" s="46">
        <f>IF(M5&lt;'⚙️ 全局核算参数 (Config)'!$B$15, "🚨 穿透红线", IF(M5&gt;=0.25, "💎 高毛利款", "✅ 利润健康"))</f>
      </c>
    </row>
    <row r="6" ht="24" customHeight="1" spans="1:17" x14ac:dyDescent="0.25">
      <c r="A6" s="35" t="s">
        <v>145</v>
      </c>
      <c r="B6" s="36" t="s">
        <v>146</v>
      </c>
      <c r="C6" s="36" t="s">
        <v>147</v>
      </c>
      <c r="D6" s="37">
        <v>24</v>
      </c>
      <c r="E6" s="38">
        <v>300</v>
      </c>
      <c r="F6" s="38">
        <v>20</v>
      </c>
      <c r="G6" s="39">
        <v>0.055</v>
      </c>
      <c r="H6" s="40">
        <v>9.5</v>
      </c>
      <c r="I6" s="41"/>
      <c r="J6" s="35" t="s">
        <v>128</v>
      </c>
      <c r="K6" s="35" t="s">
        <v>144</v>
      </c>
      <c r="L6" s="42">
        <f>'⚙️ 全局核算参数 (Config)'!$C$22</f>
      </c>
      <c r="M6" s="43">
        <f>IF(ISBLANK(I6), '⚙️ 全局核算参数 (Config)'!$B$14, I6)</f>
      </c>
      <c r="N6" s="44">
        <f>ROUND(((D6 * (1 + M6) + L6) / '⚙️ 全局核算参数 (Config)'!$B$6), 2)</f>
      </c>
      <c r="O6" s="45">
        <f>IF(AND(G6&gt;0, F6&gt;0), INT(('⚙️ 全局核算参数 (Config)'!$B$33 / G6)) * F6, "-")</f>
      </c>
      <c r="P6" s="45">
        <f>IF(AND(G6&gt;0, F6&gt;0), INT(('⚙️ 全局核算参数 (Config)'!$B$35 / G6)) * F6, "-")</f>
      </c>
      <c r="Q6" s="46">
        <f>IF(M6&lt;'⚙️ 全局核算参数 (Config)'!$B$15, "🚨 穿透红线", IF(M6&gt;=0.25, "💎 高毛利款", "✅ 利润健康"))</f>
      </c>
    </row>
    <row r="7" ht="24" customHeight="1" spans="1:17" x14ac:dyDescent="0.25">
      <c r="A7" s="47" t="s">
        <v>148</v>
      </c>
      <c r="B7" s="48" t="s">
        <v>149</v>
      </c>
      <c r="C7" s="48" t="s">
        <v>147</v>
      </c>
      <c r="D7" s="49">
        <v>25</v>
      </c>
      <c r="E7" s="50">
        <v>300</v>
      </c>
      <c r="F7" s="50">
        <v>20</v>
      </c>
      <c r="G7" s="51">
        <v>0.055</v>
      </c>
      <c r="H7" s="52">
        <v>9.5</v>
      </c>
      <c r="I7" s="53"/>
      <c r="J7" s="47" t="s">
        <v>128</v>
      </c>
      <c r="K7" s="47" t="s">
        <v>144</v>
      </c>
      <c r="L7" s="42">
        <f>'⚙️ 全局核算参数 (Config)'!$C$22</f>
      </c>
      <c r="M7" s="43">
        <f>IF(ISBLANK(I7), '⚙️ 全局核算参数 (Config)'!$B$14, I7)</f>
      </c>
      <c r="N7" s="44">
        <f>ROUND(((D7 * (1 + M7) + L7) / '⚙️ 全局核算参数 (Config)'!$B$6), 2)</f>
      </c>
      <c r="O7" s="45">
        <f>IF(AND(G7&gt;0, F7&gt;0), INT(('⚙️ 全局核算参数 (Config)'!$B$33 / G7)) * F7, "-")</f>
      </c>
      <c r="P7" s="45">
        <f>IF(AND(G7&gt;0, F7&gt;0), INT(('⚙️ 全局核算参数 (Config)'!$B$35 / G7)) * F7, "-")</f>
      </c>
      <c r="Q7" s="46">
        <f>IF(M7&lt;'⚙️ 全局核算参数 (Config)'!$B$15, "🚨 穿透红线", IF(M7&gt;=0.25, "💎 高毛利款", "✅ 利润健康"))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55" customWidth="1"/>
    <col min="4" max="4" width="14" customWidth="1"/>
    <col min="5" max="5" width="22" customWidth="1"/>
    <col min="6" max="6" width="18" customWidth="1"/>
    <col min="7" max="9" width="20" customWidth="1"/>
  </cols>
  <sheetData>
    <row r="1" ht="36" customHeight="1" spans="1:9" x14ac:dyDescent="0.25">
      <c r="A1" s="54" t="s">
        <v>150</v>
      </c>
      <c r="B1" s="54"/>
      <c r="C1" s="54"/>
      <c r="D1" s="54"/>
      <c r="E1" s="54"/>
      <c r="F1" s="54"/>
      <c r="G1" s="54"/>
      <c r="H1" s="54"/>
      <c r="I1" s="54"/>
    </row>
    <row r="2" ht="24" customHeight="1" spans="1:9" x14ac:dyDescent="0.25">
      <c r="A2" s="55" t="s">
        <v>151</v>
      </c>
      <c r="B2" s="55"/>
      <c r="C2" s="55"/>
      <c r="D2" s="55"/>
      <c r="E2" s="55"/>
      <c r="F2" s="56" t="s">
        <v>152</v>
      </c>
      <c r="G2" s="56"/>
      <c r="H2" s="56"/>
      <c r="I2" s="56"/>
    </row>
    <row r="3" ht="26" customHeight="1" spans="1:9" x14ac:dyDescent="0.25">
      <c r="A3" s="57" t="s">
        <v>153</v>
      </c>
      <c r="B3" s="57" t="s">
        <v>154</v>
      </c>
      <c r="C3" s="57" t="s">
        <v>155</v>
      </c>
      <c r="D3" s="57" t="s">
        <v>156</v>
      </c>
      <c r="E3" s="57" t="s">
        <v>157</v>
      </c>
      <c r="F3" s="57" t="s">
        <v>158</v>
      </c>
      <c r="G3" s="57" t="s">
        <v>159</v>
      </c>
      <c r="H3" s="57" t="s">
        <v>160</v>
      </c>
      <c r="I3" s="57" t="s">
        <v>161</v>
      </c>
    </row>
    <row r="4" ht="22" customHeight="1" spans="1:9" x14ac:dyDescent="0.25">
      <c r="A4" s="58">
        <v>1</v>
      </c>
      <c r="B4" s="58">
        <f>'📦 商品出厂底价库 (Products)'!A2</f>
      </c>
      <c r="C4" s="59">
        <f>'📦 商品出厂底价库 (Products)'!C2</f>
      </c>
      <c r="D4" s="60">
        <f>'📦 商品出厂底价库 (Products)'!E2</f>
      </c>
      <c r="E4" s="61">
        <f>'📦 商品出厂底价库 (Products)'!N2</f>
      </c>
      <c r="F4" s="60">
        <f>'📦 商品出厂底价库 (Products)'!F2</f>
      </c>
      <c r="G4" s="60">
        <f>'📦 商品出厂底价库 (Products)'!O2</f>
      </c>
      <c r="H4" s="60">
        <f>'📦 商品出厂底价库 (Products)'!P2</f>
      </c>
      <c r="I4" s="58">
        <f>'📦 商品出厂底价库 (Products)'!J2</f>
      </c>
    </row>
    <row r="5" ht="22" customHeight="1" spans="1:9" x14ac:dyDescent="0.25">
      <c r="A5" s="62">
        <v>2</v>
      </c>
      <c r="B5" s="62">
        <f>'📦 商品出厂底价库 (Products)'!A3</f>
      </c>
      <c r="C5" s="63">
        <f>'📦 商品出厂底价库 (Products)'!C3</f>
      </c>
      <c r="D5" s="64">
        <f>'📦 商品出厂底价库 (Products)'!E3</f>
      </c>
      <c r="E5" s="65">
        <f>'📦 商品出厂底价库 (Products)'!N3</f>
      </c>
      <c r="F5" s="64">
        <f>'📦 商品出厂底价库 (Products)'!F3</f>
      </c>
      <c r="G5" s="64">
        <f>'📦 商品出厂底价库 (Products)'!O3</f>
      </c>
      <c r="H5" s="64">
        <f>'📦 商品出厂底价库 (Products)'!P3</f>
      </c>
      <c r="I5" s="62">
        <f>'📦 商品出厂底价库 (Products)'!J3</f>
      </c>
    </row>
    <row r="6" ht="22" customHeight="1" spans="1:9" x14ac:dyDescent="0.25">
      <c r="A6" s="58">
        <v>3</v>
      </c>
      <c r="B6" s="58">
        <f>'📦 商品出厂底价库 (Products)'!A4</f>
      </c>
      <c r="C6" s="59">
        <f>'📦 商品出厂底价库 (Products)'!C4</f>
      </c>
      <c r="D6" s="60">
        <f>'📦 商品出厂底价库 (Products)'!E4</f>
      </c>
      <c r="E6" s="61">
        <f>'📦 商品出厂底价库 (Products)'!N4</f>
      </c>
      <c r="F6" s="60">
        <f>'📦 商品出厂底价库 (Products)'!F4</f>
      </c>
      <c r="G6" s="60">
        <f>'📦 商品出厂底价库 (Products)'!O4</f>
      </c>
      <c r="H6" s="60">
        <f>'📦 商品出厂底价库 (Products)'!P4</f>
      </c>
      <c r="I6" s="58">
        <f>'📦 商品出厂底价库 (Products)'!J4</f>
      </c>
    </row>
    <row r="7" ht="22" customHeight="1" spans="1:9" x14ac:dyDescent="0.25">
      <c r="A7" s="62">
        <v>4</v>
      </c>
      <c r="B7" s="62">
        <f>'📦 商品出厂底价库 (Products)'!A5</f>
      </c>
      <c r="C7" s="63">
        <f>'📦 商品出厂底价库 (Products)'!C5</f>
      </c>
      <c r="D7" s="64">
        <f>'📦 商品出厂底价库 (Products)'!E5</f>
      </c>
      <c r="E7" s="65">
        <f>'📦 商品出厂底价库 (Products)'!N5</f>
      </c>
      <c r="F7" s="64">
        <f>'📦 商品出厂底价库 (Products)'!F5</f>
      </c>
      <c r="G7" s="64">
        <f>'📦 商品出厂底价库 (Products)'!O5</f>
      </c>
      <c r="H7" s="64">
        <f>'📦 商品出厂底价库 (Products)'!P5</f>
      </c>
      <c r="I7" s="62">
        <f>'📦 商品出厂底价库 (Products)'!J5</f>
      </c>
    </row>
    <row r="8" ht="22" customHeight="1" spans="1:9" x14ac:dyDescent="0.25">
      <c r="A8" s="58">
        <v>5</v>
      </c>
      <c r="B8" s="58">
        <f>'📦 商品出厂底价库 (Products)'!A6</f>
      </c>
      <c r="C8" s="59">
        <f>'📦 商品出厂底价库 (Products)'!C6</f>
      </c>
      <c r="D8" s="60">
        <f>'📦 商品出厂底价库 (Products)'!E6</f>
      </c>
      <c r="E8" s="61">
        <f>'📦 商品出厂底价库 (Products)'!N6</f>
      </c>
      <c r="F8" s="60">
        <f>'📦 商品出厂底价库 (Products)'!F6</f>
      </c>
      <c r="G8" s="60">
        <f>'📦 商品出厂底价库 (Products)'!O6</f>
      </c>
      <c r="H8" s="60">
        <f>'📦 商品出厂底价库 (Products)'!P6</f>
      </c>
      <c r="I8" s="58">
        <f>'📦 商品出厂底价库 (Products)'!J6</f>
      </c>
    </row>
    <row r="9" ht="22" customHeight="1" spans="1:9" x14ac:dyDescent="0.25">
      <c r="A9" s="62">
        <v>6</v>
      </c>
      <c r="B9" s="62">
        <f>'📦 商品出厂底价库 (Products)'!A7</f>
      </c>
      <c r="C9" s="63">
        <f>'📦 商品出厂底价库 (Products)'!C7</f>
      </c>
      <c r="D9" s="64">
        <f>'📦 商品出厂底价库 (Products)'!E7</f>
      </c>
      <c r="E9" s="65">
        <f>'📦 商品出厂底价库 (Products)'!N7</f>
      </c>
      <c r="F9" s="64">
        <f>'📦 商品出厂底价库 (Products)'!F7</f>
      </c>
      <c r="G9" s="64">
        <f>'📦 商品出厂底价库 (Products)'!O7</f>
      </c>
      <c r="H9" s="64">
        <f>'📦 商品出厂底价库 (Products)'!P7</f>
      </c>
      <c r="I9" s="62">
        <f>'📦 商品出厂底价库 (Products)'!J7</f>
      </c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 使用指南与提效神器</vt:lpstr>
      <vt:lpstr>⚙️ 全局核算参数 (Config)</vt:lpstr>
      <vt:lpstr>📦 商品出厂底价库 (Products)</vt:lpstr>
      <vt:lpstr>📄 对外纯净批量报价单 (脱敏单)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IT佬Kelvin</dc:creator>
  <dc:title/>
  <dc:subject/>
  <dc:description/>
  <cp:keywords/>
  <cp:category/>
  <cp:lastModifiedBy>IT佬Kelvin</cp:lastModifiedBy>
  <dcterms:created xsi:type="dcterms:W3CDTF">2026-10-12T07:50:57Z</dcterms:created>
  <dcterms:modified xsi:type="dcterms:W3CDTF">2026-10-12T07:50:57Z</dcterms:modified>
</cp:coreProperties>
</file>